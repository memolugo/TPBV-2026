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m_local\Documents\GitHub\TPBV 2026 -AGOSTO 26\"/>
    </mc:Choice>
  </mc:AlternateContent>
  <xr:revisionPtr revIDLastSave="0" documentId="8_{24494E50-780D-472E-98D2-67149E2F23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centrado" sheetId="1" r:id="rId1"/>
    <sheet name="Entrega Caravanas" sheetId="2" r:id="rId2"/>
    <sheet name="Aulas Tecnológicas" sheetId="3" r:id="rId3"/>
    <sheet name="Adqui. Primera Fase" sheetId="4" state="hidden" r:id="rId4"/>
    <sheet name="Hoja 10" sheetId="5" r:id="rId5"/>
    <sheet name="Hoja 11" sheetId="6" r:id="rId6"/>
    <sheet name="Adqui. total 45 escuelas" sheetId="7" r:id="rId7"/>
    <sheet name="Ubicación" sheetId="8" r:id="rId8"/>
    <sheet name="1° Fase" sheetId="9" state="hidden" r:id="rId9"/>
    <sheet name="2° Fase" sheetId="10" state="hidden" r:id="rId10"/>
    <sheet name="3° Fase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1" l="1"/>
  <c r="G1" i="11"/>
  <c r="D1" i="11" s="1"/>
  <c r="D1" i="10"/>
  <c r="H1" i="9"/>
  <c r="D1" i="9"/>
  <c r="D74" i="7"/>
  <c r="E74" i="7" s="1"/>
  <c r="F74" i="7" s="1"/>
  <c r="D73" i="7"/>
  <c r="E73" i="7" s="1"/>
  <c r="F73" i="7" s="1"/>
  <c r="F65" i="7"/>
  <c r="F51" i="7"/>
  <c r="O49" i="7"/>
  <c r="M49" i="7"/>
  <c r="G49" i="7"/>
  <c r="F49" i="7"/>
  <c r="E49" i="7"/>
  <c r="C49" i="7"/>
  <c r="N48" i="7"/>
  <c r="K48" i="7"/>
  <c r="I48" i="7"/>
  <c r="N47" i="7"/>
  <c r="I47" i="7"/>
  <c r="K47" i="7" s="1"/>
  <c r="N46" i="7"/>
  <c r="K46" i="7"/>
  <c r="I46" i="7"/>
  <c r="N45" i="7"/>
  <c r="I45" i="7"/>
  <c r="K45" i="7" s="1"/>
  <c r="N44" i="7"/>
  <c r="K44" i="7"/>
  <c r="I44" i="7"/>
  <c r="N43" i="7"/>
  <c r="I43" i="7"/>
  <c r="K43" i="7" s="1"/>
  <c r="N42" i="7"/>
  <c r="I42" i="7"/>
  <c r="K42" i="7" s="1"/>
  <c r="N41" i="7"/>
  <c r="I41" i="7"/>
  <c r="K41" i="7" s="1"/>
  <c r="N40" i="7"/>
  <c r="I40" i="7"/>
  <c r="K40" i="7" s="1"/>
  <c r="N39" i="7"/>
  <c r="I39" i="7"/>
  <c r="K39" i="7" s="1"/>
  <c r="N38" i="7"/>
  <c r="K38" i="7"/>
  <c r="I38" i="7"/>
  <c r="N37" i="7"/>
  <c r="K37" i="7"/>
  <c r="I37" i="7"/>
  <c r="N36" i="7"/>
  <c r="I36" i="7"/>
  <c r="K36" i="7" s="1"/>
  <c r="N35" i="7"/>
  <c r="I35" i="7"/>
  <c r="K35" i="7" s="1"/>
  <c r="N34" i="7"/>
  <c r="K34" i="7"/>
  <c r="I34" i="7"/>
  <c r="N33" i="7"/>
  <c r="I33" i="7"/>
  <c r="K33" i="7" s="1"/>
  <c r="N32" i="7"/>
  <c r="K32" i="7"/>
  <c r="I32" i="7"/>
  <c r="N31" i="7"/>
  <c r="I31" i="7"/>
  <c r="K31" i="7" s="1"/>
  <c r="N30" i="7"/>
  <c r="K30" i="7"/>
  <c r="I30" i="7"/>
  <c r="N29" i="7"/>
  <c r="I29" i="7"/>
  <c r="K29" i="7" s="1"/>
  <c r="N28" i="7"/>
  <c r="K28" i="7"/>
  <c r="I28" i="7"/>
  <c r="N27" i="7"/>
  <c r="K27" i="7"/>
  <c r="N26" i="7"/>
  <c r="K26" i="7"/>
  <c r="I26" i="7"/>
  <c r="N25" i="7"/>
  <c r="I25" i="7"/>
  <c r="K25" i="7" s="1"/>
  <c r="N24" i="7"/>
  <c r="I24" i="7"/>
  <c r="K24" i="7" s="1"/>
  <c r="N23" i="7"/>
  <c r="K23" i="7"/>
  <c r="I23" i="7"/>
  <c r="N22" i="7"/>
  <c r="I22" i="7"/>
  <c r="K22" i="7" s="1"/>
  <c r="N21" i="7"/>
  <c r="K21" i="7"/>
  <c r="I21" i="7"/>
  <c r="N20" i="7"/>
  <c r="I20" i="7"/>
  <c r="K20" i="7" s="1"/>
  <c r="N19" i="7"/>
  <c r="K19" i="7"/>
  <c r="I19" i="7"/>
  <c r="N18" i="7"/>
  <c r="I18" i="7"/>
  <c r="K18" i="7" s="1"/>
  <c r="N17" i="7"/>
  <c r="K17" i="7"/>
  <c r="I17" i="7"/>
  <c r="N16" i="7"/>
  <c r="I16" i="7"/>
  <c r="K16" i="7" s="1"/>
  <c r="N15" i="7"/>
  <c r="I15" i="7"/>
  <c r="K15" i="7" s="1"/>
  <c r="N14" i="7"/>
  <c r="I14" i="7"/>
  <c r="K14" i="7" s="1"/>
  <c r="N13" i="7"/>
  <c r="K13" i="7"/>
  <c r="I13" i="7"/>
  <c r="N12" i="7"/>
  <c r="I12" i="7"/>
  <c r="K12" i="7" s="1"/>
  <c r="N11" i="7"/>
  <c r="K11" i="7"/>
  <c r="I11" i="7"/>
  <c r="N10" i="7"/>
  <c r="K10" i="7"/>
  <c r="I10" i="7"/>
  <c r="N9" i="7"/>
  <c r="I9" i="7"/>
  <c r="K9" i="7" s="1"/>
  <c r="N8" i="7"/>
  <c r="I8" i="7"/>
  <c r="K8" i="7" s="1"/>
  <c r="N7" i="7"/>
  <c r="K7" i="7"/>
  <c r="I7" i="7"/>
  <c r="N6" i="7"/>
  <c r="I6" i="7"/>
  <c r="K6" i="7" s="1"/>
  <c r="N5" i="7"/>
  <c r="K5" i="7"/>
  <c r="I5" i="7"/>
  <c r="N4" i="7"/>
  <c r="N49" i="7" s="1"/>
  <c r="N51" i="7" s="1"/>
  <c r="I4" i="7"/>
  <c r="I49" i="7" s="1"/>
  <c r="B17" i="6"/>
  <c r="F46" i="5"/>
  <c r="D46" i="5"/>
  <c r="C46" i="5"/>
  <c r="B46" i="5"/>
  <c r="N16" i="4"/>
  <c r="L16" i="4"/>
  <c r="E16" i="4"/>
  <c r="M15" i="4"/>
  <c r="J15" i="4"/>
  <c r="I15" i="4"/>
  <c r="G15" i="4"/>
  <c r="F15" i="4"/>
  <c r="M14" i="4"/>
  <c r="J14" i="4"/>
  <c r="I14" i="4"/>
  <c r="G14" i="4"/>
  <c r="F14" i="4"/>
  <c r="M13" i="4"/>
  <c r="J13" i="4"/>
  <c r="I13" i="4"/>
  <c r="G13" i="4"/>
  <c r="F13" i="4"/>
  <c r="M12" i="4"/>
  <c r="J12" i="4"/>
  <c r="I12" i="4"/>
  <c r="G12" i="4"/>
  <c r="F12" i="4"/>
  <c r="M11" i="4"/>
  <c r="J11" i="4"/>
  <c r="I11" i="4"/>
  <c r="G11" i="4"/>
  <c r="F11" i="4"/>
  <c r="M10" i="4"/>
  <c r="J10" i="4"/>
  <c r="I10" i="4"/>
  <c r="G10" i="4"/>
  <c r="F10" i="4"/>
  <c r="M9" i="4"/>
  <c r="J9" i="4"/>
  <c r="I9" i="4"/>
  <c r="G9" i="4"/>
  <c r="F9" i="4"/>
  <c r="M8" i="4"/>
  <c r="J8" i="4"/>
  <c r="I8" i="4"/>
  <c r="G8" i="4"/>
  <c r="F8" i="4"/>
  <c r="M7" i="4"/>
  <c r="J7" i="4"/>
  <c r="I7" i="4"/>
  <c r="G7" i="4"/>
  <c r="F7" i="4"/>
  <c r="M6" i="4"/>
  <c r="J6" i="4"/>
  <c r="I6" i="4"/>
  <c r="G6" i="4"/>
  <c r="F6" i="4"/>
  <c r="F16" i="4" s="1"/>
  <c r="M5" i="4"/>
  <c r="J5" i="4"/>
  <c r="I5" i="4"/>
  <c r="G5" i="4"/>
  <c r="F5" i="4"/>
  <c r="M4" i="4"/>
  <c r="M16" i="4" s="1"/>
  <c r="M17" i="4" s="1"/>
  <c r="J4" i="4"/>
  <c r="I4" i="4"/>
  <c r="I16" i="4" s="1"/>
  <c r="J16" i="4" s="1"/>
  <c r="I17" i="4" s="1"/>
  <c r="G4" i="4"/>
  <c r="G16" i="4" s="1"/>
  <c r="F4" i="4"/>
  <c r="I55" i="3"/>
  <c r="G54" i="3"/>
  <c r="G56" i="3" s="1"/>
  <c r="F54" i="3"/>
  <c r="I53" i="3"/>
  <c r="F53" i="3"/>
  <c r="F56" i="3" s="1"/>
  <c r="F48" i="3"/>
  <c r="H55" i="3" s="1"/>
  <c r="AC16" i="1"/>
  <c r="AA16" i="1"/>
  <c r="X16" i="1"/>
  <c r="U16" i="1"/>
  <c r="T16" i="1"/>
  <c r="AB15" i="1"/>
  <c r="Y15" i="1"/>
  <c r="V15" i="1"/>
  <c r="U15" i="1"/>
  <c r="AB14" i="1"/>
  <c r="Y14" i="1"/>
  <c r="V14" i="1"/>
  <c r="U14" i="1"/>
  <c r="AB13" i="1"/>
  <c r="Y13" i="1"/>
  <c r="V13" i="1"/>
  <c r="U13" i="1"/>
  <c r="AB12" i="1"/>
  <c r="Y12" i="1"/>
  <c r="V12" i="1"/>
  <c r="U12" i="1"/>
  <c r="AB11" i="1"/>
  <c r="Y11" i="1"/>
  <c r="V11" i="1"/>
  <c r="U11" i="1"/>
  <c r="AB10" i="1"/>
  <c r="Y10" i="1"/>
  <c r="V10" i="1"/>
  <c r="U10" i="1"/>
  <c r="AB9" i="1"/>
  <c r="Y9" i="1"/>
  <c r="V9" i="1"/>
  <c r="U9" i="1"/>
  <c r="AB8" i="1"/>
  <c r="Y8" i="1"/>
  <c r="V8" i="1"/>
  <c r="U8" i="1"/>
  <c r="AB7" i="1"/>
  <c r="Y7" i="1"/>
  <c r="V7" i="1"/>
  <c r="U7" i="1"/>
  <c r="AB6" i="1"/>
  <c r="Y6" i="1"/>
  <c r="V6" i="1"/>
  <c r="U6" i="1"/>
  <c r="AB5" i="1"/>
  <c r="Y5" i="1"/>
  <c r="V5" i="1"/>
  <c r="U5" i="1"/>
  <c r="AB4" i="1"/>
  <c r="AB16" i="1" s="1"/>
  <c r="AB17" i="1" s="1"/>
  <c r="Y4" i="1"/>
  <c r="Y16" i="1" s="1"/>
  <c r="X17" i="1" s="1"/>
  <c r="V4" i="1"/>
  <c r="V16" i="1" s="1"/>
  <c r="U4" i="1"/>
  <c r="M1" i="1"/>
  <c r="K1" i="1"/>
  <c r="I1" i="1"/>
  <c r="H53" i="3" l="1"/>
  <c r="H54" i="3"/>
  <c r="I54" i="3"/>
  <c r="F17" i="4"/>
  <c r="U17" i="1"/>
  <c r="K4" i="7"/>
  <c r="K49" i="7" s="1"/>
  <c r="J51" i="7" s="1"/>
  <c r="B52" i="7" s="1"/>
</calcChain>
</file>

<file path=xl/sharedStrings.xml><?xml version="1.0" encoding="utf-8"?>
<sst xmlns="http://schemas.openxmlformats.org/spreadsheetml/2006/main" count="2564" uniqueCount="444">
  <si>
    <t>Caravana</t>
  </si>
  <si>
    <t>Escuelas</t>
  </si>
  <si>
    <t>Total de equipos</t>
  </si>
  <si>
    <t>Dia</t>
  </si>
  <si>
    <t>Municipio</t>
  </si>
  <si>
    <t>Localidad</t>
  </si>
  <si>
    <t>Municipio / Localidad / Escuela</t>
  </si>
  <si>
    <t>Computadoras</t>
  </si>
  <si>
    <t>Capacitación promotor</t>
  </si>
  <si>
    <t>Contacto Celular</t>
  </si>
  <si>
    <t>Ubicación</t>
  </si>
  <si>
    <t>Documentacion</t>
  </si>
  <si>
    <t>Requiere</t>
  </si>
  <si>
    <t>Adquisicion Primera Fase (12 Escuelas)</t>
  </si>
  <si>
    <t>Temixco</t>
  </si>
  <si>
    <t>Colonia Azteca</t>
  </si>
  <si>
    <t>Temixco, Miguel Hidalgo, Miguel Hidalgo, 17DPR0105R</t>
  </si>
  <si>
    <t>María del Rosario Martínez Cándido</t>
  </si>
  <si>
    <t>xxx-xxx-xx-xx</t>
  </si>
  <si>
    <t>https://maps.app.goo.gl/TgPLFH6oR1sPkMhC6</t>
  </si>
  <si>
    <t>Cantidad equipos Primera Fase</t>
  </si>
  <si>
    <t>AP</t>
  </si>
  <si>
    <t>Atlatlahucan</t>
  </si>
  <si>
    <t xml:space="preserve">Las Minas
</t>
  </si>
  <si>
    <t>Atlatlahucan, Tlatetelco, Lic. Jose Vasconcelos, 17DTV0054Z</t>
  </si>
  <si>
    <t>Ma. Guadalupe Sigler Aguilar</t>
  </si>
  <si>
    <t>https://maps.app.goo.gl/iUVCwFZcjB5qkLWs9</t>
  </si>
  <si>
    <t>Adaptador WiFi</t>
  </si>
  <si>
    <t>ISP - Telmex FO</t>
  </si>
  <si>
    <t>Cantidad escuelas Primera Fase</t>
  </si>
  <si>
    <t>Modelo</t>
  </si>
  <si>
    <t>Cantidad</t>
  </si>
  <si>
    <t>Precio Fabricante</t>
  </si>
  <si>
    <t>PoE Precio Fabricante</t>
  </si>
  <si>
    <t>Formato y Fotos</t>
  </si>
  <si>
    <t>Total
372 Sillas
294 Mesas
664 Tarjetas Wifi</t>
  </si>
  <si>
    <t>Precio Office Depot</t>
  </si>
  <si>
    <t>Paquete</t>
  </si>
  <si>
    <t>Adquisicion</t>
  </si>
  <si>
    <t>Precio * mes</t>
  </si>
  <si>
    <t>Precio de instalacion</t>
  </si>
  <si>
    <t>Hueyapan, Barrio de San Miguel, Emiliano Zapata, 17DPR0359T</t>
  </si>
  <si>
    <t>U6 Pro</t>
  </si>
  <si>
    <t xml:space="preserve">- 10 sillas
- Internet para el aula
- 20 Tarjeta WIFi 
</t>
  </si>
  <si>
    <t xml:space="preserve">- 16 sillas
- 16 mesas
- 16 contactos electricos dobles y tablero
- Internet para el aula
- 16 Tarjeta WIFi
</t>
  </si>
  <si>
    <t>ISP</t>
  </si>
  <si>
    <t>Tlayacapan</t>
  </si>
  <si>
    <t>Jojutla</t>
  </si>
  <si>
    <t>Región</t>
  </si>
  <si>
    <t>Coordinador Regional</t>
  </si>
  <si>
    <t>Observaciones</t>
  </si>
  <si>
    <t xml:space="preserve">San José de los Laureles
</t>
  </si>
  <si>
    <t>Prupuesta de ISP</t>
  </si>
  <si>
    <t xml:space="preserve">Mobiliario </t>
  </si>
  <si>
    <t xml:space="preserve">Tehuixtla
</t>
  </si>
  <si>
    <t>Entrega</t>
  </si>
  <si>
    <t>Tlayacapan, Colonia el Plan, Secundaria Tecnica numero 6, 17DST0006C</t>
  </si>
  <si>
    <t>Sillas</t>
  </si>
  <si>
    <t>Maribel Lima Santamaria</t>
  </si>
  <si>
    <t>Mesas</t>
  </si>
  <si>
    <t>Jojutla, Chisco, Emiliano Zapata, 17DPR0632J</t>
  </si>
  <si>
    <t>IEBEM
Fecha de entrega
equipo y mobiliario</t>
  </si>
  <si>
    <t>Fecha Instalación
Contactos Eléctricos</t>
  </si>
  <si>
    <t>https://maps.app.goo.gl/uiQMdvWgDHwHJmM19</t>
  </si>
  <si>
    <t>ATDEM
Fecha de Instalación</t>
  </si>
  <si>
    <t>Rosa Simon Chavez</t>
  </si>
  <si>
    <t>https://maps.app.goo.gl/KHCEH9gCMtiEuP5TA</t>
  </si>
  <si>
    <t>Precio instalacion</t>
  </si>
  <si>
    <t xml:space="preserve">
- 20 Tarjeta WIFi
</t>
  </si>
  <si>
    <t>Archer T3U PLUS</t>
  </si>
  <si>
    <t>Tlayacapan, Nacatongo, NIños Heroes, 17DPR0858P</t>
  </si>
  <si>
    <t>https://maps.app.goo.gl/yHFvQ8WPi9WQ8He89</t>
  </si>
  <si>
    <t>Altos</t>
  </si>
  <si>
    <t>- Internet para el aula
- 5 Tarjeta WIFi</t>
  </si>
  <si>
    <t>Silvia Zavala</t>
  </si>
  <si>
    <t>Telmex</t>
  </si>
  <si>
    <t>MIguel Angel Maya Alonso</t>
  </si>
  <si>
    <t>https://maps.app.goo.gl/WvXNKyLGQEEv5zXL8</t>
  </si>
  <si>
    <t>Jojutla, Chisco, Martires del Agrarismo, 17DTV0068C</t>
  </si>
  <si>
    <t>https://maps.app.goo.gl/SLh4yQSJx9JTfqQp8</t>
  </si>
  <si>
    <t>250Mbps Simetrico</t>
  </si>
  <si>
    <t xml:space="preserve">- 20 sillas
- 20 contactos electricos dobles y tablero
- Internet para el aula
- 20 Tarjeta WIFi
</t>
  </si>
  <si>
    <t>Yecapixtla</t>
  </si>
  <si>
    <t>Jonacatepec, San Martin, Teodoro Rivera Bobadilla, 17DES0051X</t>
  </si>
  <si>
    <t>Los Capulines</t>
  </si>
  <si>
    <t>- Internet para el aula
- 20 Tarjeta WIFi</t>
  </si>
  <si>
    <t>Primera Fase</t>
  </si>
  <si>
    <t>Jojutla, Rio Seco, Martires de la Revolucion, 17DPR0554W</t>
  </si>
  <si>
    <t>- internet  para el aula
- 18 Tarjeta WiFi</t>
  </si>
  <si>
    <t>Yecapixtla, los capulines, Popocatepetl, 17DTV0122G</t>
  </si>
  <si>
    <t>Viernes
28 de noviembre de 2025</t>
  </si>
  <si>
    <t>N/A</t>
  </si>
  <si>
    <t>Lunes
1 de diciembre de 2025</t>
  </si>
  <si>
    <t>https://maps.app.goo.gl/JXJSe8X57h9uJRMd9</t>
  </si>
  <si>
    <t>Jonacatepec, Tetelilla, Jose Ma. Morelos y Pavon, 17DPR0698S</t>
  </si>
  <si>
    <t>Arizbeth Karina Cortez Villanueva</t>
  </si>
  <si>
    <t>https://maps.app.goo.gl/HPp9pYs2G2H8KDb4A</t>
  </si>
  <si>
    <t>Axochiapan, Telixtac, Escuela Secundaria Tecnica Num. 29, 17DST0036X</t>
  </si>
  <si>
    <t>Tepalcingo, Emiliano Zapata, Tierra y Libertad, 17DPR1023O</t>
  </si>
  <si>
    <t>Yecapixtla, Texcala, Emiliano Zapata Salazar, 17DTV0046R</t>
  </si>
  <si>
    <t xml:space="preserve">- 15 sillas
- 15 mesas
- 15 contactos electricos dobles
- Internet para el aula
- 15 Tarjeta WIFi
</t>
  </si>
  <si>
    <t>Jojutla, Vicente Aranda, Miguel Hidalgo, 17DPR0710X</t>
  </si>
  <si>
    <t>https://maps.app.goo.gl/BGff9gMRu2nUFbFQ9</t>
  </si>
  <si>
    <t>Tlaltizapan, Acamilpa, Coronel Jose Cruz Salazar, 17DPR0537F</t>
  </si>
  <si>
    <t xml:space="preserve">- 8 sillas
- 8 mesas
- Internet para el aula
- 8 Tarjeta WIFi
</t>
  </si>
  <si>
    <t>Yecapixtla, los capulines, revolucion social, 17DPR0177K</t>
  </si>
  <si>
    <t xml:space="preserve">- 10 sillas
- 10 mesas
- Internet para el aula
- 10 Tarjeta WIFi
</t>
  </si>
  <si>
    <t>https://maps.app.goo.gl/ouGNAjFrZLPVvkwo6</t>
  </si>
  <si>
    <t>Xoxocotla, Centro, Lazaro Cardenas, 17DPR0630L</t>
  </si>
  <si>
    <t>Huitzilac</t>
  </si>
  <si>
    <t xml:space="preserve">Tres Marías
</t>
  </si>
  <si>
    <t>Huitzilac, Huitzilac, Jose Ma. Morelos y Pavon, 17DPR0042W</t>
  </si>
  <si>
    <t>Montserrat Nava Moncada</t>
  </si>
  <si>
    <t>https://maps.app.goo.gl/rKGa4poFCQTQHemX8?g_st=ac</t>
  </si>
  <si>
    <t>Xoxocotla, Colonia Morelos, Gral. Emiliano Zapata, 17DPR0560G</t>
  </si>
  <si>
    <t>Oriente</t>
  </si>
  <si>
    <t>Dante Alquicira</t>
  </si>
  <si>
    <t>En el lugar fisico no cuentan con los siguiente: internet. cableado estructurado</t>
  </si>
  <si>
    <t>Telmex o Megacable</t>
  </si>
  <si>
    <t>Se encuentran en mal estado se recomienda cambiar, requieren focos</t>
  </si>
  <si>
    <t>Anahi Barreto Benitez</t>
  </si>
  <si>
    <t xml:space="preserve">- 4 sillas
- 4 mesas
- Internet para el aula
- 4 Tarjeta WIFi
</t>
  </si>
  <si>
    <t>https://maps.app.goo.gl/ouwjxwER3hB6vBhX8</t>
  </si>
  <si>
    <t>Texcala</t>
  </si>
  <si>
    <t>Yecapixtla, Texcala, Benito Juarez, 17DPR0503P</t>
  </si>
  <si>
    <t xml:space="preserve">- 20 sillas
- 20 mesas
- 20 contactos electricos dobles
- Internet para el aula
- 20 Tarjeta WIFi
</t>
  </si>
  <si>
    <t>https://maps.app.goo.gl/AEx64UN7xpFJvNit8?g_st=ac</t>
  </si>
  <si>
    <t>Huitzilac, Tres Marias, Mariano Escobedo, 17DES0030K</t>
  </si>
  <si>
    <t>https://maps.app.goo.gl/GRxmbZ9EtUPKK5py9</t>
  </si>
  <si>
    <t xml:space="preserve">- Internet para el aula
- 20 Tarjeta WIFi
</t>
  </si>
  <si>
    <t xml:space="preserve">- 20 sillas
- 20 mesas
- Internet para el aula
- 20 Tarjeta WIFi
</t>
  </si>
  <si>
    <t>Huitzilac, Tres Marias, Melchor Ocampo, 17DPR0593Y</t>
  </si>
  <si>
    <t>https://maps.app.goo.gl/Q7rDysKh7ir8wjw77</t>
  </si>
  <si>
    <t xml:space="preserve">- 18 sillas
- 18 mesas
- Internet para el aula
- 18 Tarjeta WIFi
</t>
  </si>
  <si>
    <t>Martes
2 de diciembre de 2025</t>
  </si>
  <si>
    <t>https://maps.app.goo.gl/cr6nDUXMLRT5gAxL7</t>
  </si>
  <si>
    <t>Mesas y sillas en mal estado, cableado estructurado requiere revisión</t>
  </si>
  <si>
    <t>Megacable</t>
  </si>
  <si>
    <t>Escritorios y sillas en mas estado, revisar cableado</t>
  </si>
  <si>
    <t>Anahi BArreto Benitez</t>
  </si>
  <si>
    <t>https://maps.app.goo.gl/xYrPEhdnoErWjPn48</t>
  </si>
  <si>
    <t xml:space="preserve">- Internet para el aula
- 18 Tarjeta WIFi
</t>
  </si>
  <si>
    <t xml:space="preserve">- 20 sillas
- 20 mesas
- Internet para el aula
- 20 Tarjeta WIFi
- Revisar conector 220v
</t>
  </si>
  <si>
    <t>Tezontetelco</t>
  </si>
  <si>
    <t>Yecapixtla, Tezontetelco, Bicentenario 2010, 17DPR0089Q</t>
  </si>
  <si>
    <t>Arizebth Karina Cortez Villanueva</t>
  </si>
  <si>
    <t>https://maps.app.goo.gl/reyKcK7vFL69GBk5A</t>
  </si>
  <si>
    <t>Los $26,988 son en total de las 12 escuelas de la primera fase, que incluye su instalacion mas el primer mes de servicio de internet simetrico, posteriorimente serian $7,788 por mes de las 12 escuelas de esta primera fase.</t>
  </si>
  <si>
    <t>Jonacatepec</t>
  </si>
  <si>
    <t xml:space="preserve">Tetelilla
</t>
  </si>
  <si>
    <t>Se requiere Tarjetas WiFi para las PC, Internet muy basico (10Mbps) no es el adecuado</t>
  </si>
  <si>
    <t>Megacable, IZZI o StarLink , ya que tienen telmex y no les dan mas de 10Mbps</t>
  </si>
  <si>
    <t>Requiere 20 Sillas</t>
  </si>
  <si>
    <t>Olga Ramirez Garcia</t>
  </si>
  <si>
    <t>https://maps.app.goo.gl/7G8Q9yJ4RMSJ4iv79</t>
  </si>
  <si>
    <t xml:space="preserve">- 2 sillas
- 4 mesas
- Internet para el aula
- 4 Tarjeta WIFi
</t>
  </si>
  <si>
    <t>Zacahuacatl</t>
  </si>
  <si>
    <t>Yecapixtla, Zacahuacatl, Curso Comunitario de Primaria,17KPR0117F</t>
  </si>
  <si>
    <t>https://maps.app.goo.gl/RhLvZDuGVs77DUHr9?g_st=ac</t>
  </si>
  <si>
    <t>Miércoles
3 de diciembre de 2025</t>
  </si>
  <si>
    <t xml:space="preserve">- 2 sillas
- 2 mesas
- Internet para el aula
- 2 Tarjeta WIFi
</t>
  </si>
  <si>
    <t>Internet muy basico (10Mbps) no es el adecuado</t>
  </si>
  <si>
    <t>Hueyapan</t>
  </si>
  <si>
    <t>Suhita Rodriguez Cortez</t>
  </si>
  <si>
    <t>https://maps.app.goo.gl/jmDunccPPVk9bzMy7</t>
  </si>
  <si>
    <t>Coatetelco</t>
  </si>
  <si>
    <t>Cabecera</t>
  </si>
  <si>
    <t>Coatetelco, Colonia Benito Juarez, Cuauhtemoc, 17DPR0476I</t>
  </si>
  <si>
    <t>Elizabeth Teodoro Aguilar</t>
  </si>
  <si>
    <t>https://maps.app.goo.gl/KJmwo3oRuFu5j8qo7</t>
  </si>
  <si>
    <t xml:space="preserve">- Internet para el aula
- 12 Tarjeta WIFi
</t>
  </si>
  <si>
    <t>Hueyapan, Barrio de San Miguel, EMSAD 05, 17EMS0004U</t>
  </si>
  <si>
    <t>https://maps.app.goo.gl/B1LQh9wWutydfbBt6</t>
  </si>
  <si>
    <t>No cuentan con sillas, Internet muy basico (6Mbps) no es el adecuado</t>
  </si>
  <si>
    <t>Starlink</t>
  </si>
  <si>
    <t>Requieren 18 Sillas</t>
  </si>
  <si>
    <t xml:space="preserve">- 12 sillas
- 12 mesas
- 12 contactos electricos dobles
- Internet para el aula
- 12 Tarjeta WIFi
</t>
  </si>
  <si>
    <t>Jueves
4 de diciembre de 2025</t>
  </si>
  <si>
    <t>Emiliano Zapata</t>
  </si>
  <si>
    <t xml:space="preserve">Tres de Mayo
</t>
  </si>
  <si>
    <t xml:space="preserve">- 10 sillas
- 10 mesas
- 10 contactos electricos dobles
- Internet para el aula
- 10 Tarjeta WIFi
</t>
  </si>
  <si>
    <t>Emiliano Zapata, Emiliano Zapata, Martires de Chinameca, 17DPR0250C</t>
  </si>
  <si>
    <t>Diana Aparicio Garcia</t>
  </si>
  <si>
    <t>https://maps.app.goo.gl/wiXbX8CcBSadCmxE8</t>
  </si>
  <si>
    <t>Se requiere Tarjetas WiFi para las PC (Comentan que pueden instalar el cableado estructurado )</t>
  </si>
  <si>
    <t>No cuentan con cableado estructurado</t>
  </si>
  <si>
    <t>Hueyapan, Olivar, Olivar, 17DPB0004S</t>
  </si>
  <si>
    <t>https://maps.app.goo.gl/A6zkUwFXXGJH8JPZA</t>
  </si>
  <si>
    <t>- Reforzar Chapa
- internet para el aula
- 16 Tarjeta WiFi</t>
  </si>
  <si>
    <t xml:space="preserve">- 6 contactos electricos dobles
- Internet para el aula
- 6 Tarjeta WIFi
</t>
  </si>
  <si>
    <t>Tetela del Volcán</t>
  </si>
  <si>
    <t>Tetela del Volcan, Tetela del Volcan, Prof. Jose Narez Alvarez, 17DPR099O</t>
  </si>
  <si>
    <t>Zacatepec</t>
  </si>
  <si>
    <t>Janet Jimenez Velazquez</t>
  </si>
  <si>
    <t>https://maps.app.goo.gl/oBCdynk2VvUuRaTC6</t>
  </si>
  <si>
    <t xml:space="preserve">San Nicolás Galeana
</t>
  </si>
  <si>
    <t>Sur</t>
  </si>
  <si>
    <t>Gustavo Álvarez</t>
  </si>
  <si>
    <t>Se requiere hacer un contrato con un ISP, Se requiere Tarjetas WiFi para las PC o cableado ya que tienen la ducteria</t>
  </si>
  <si>
    <t>Zacatepec, Plutarco Elias Calles16 de septiembre, 17DTV0107O</t>
  </si>
  <si>
    <t>Telmex o Starlink</t>
  </si>
  <si>
    <t>Adecuacion del Cableado</t>
  </si>
  <si>
    <t>Honorina Coronel Trujillo</t>
  </si>
  <si>
    <t>Roberto Ramirez Morales</t>
  </si>
  <si>
    <t>https://maps.app.goo.gl/mx48pbHYgyJ2QwJj7</t>
  </si>
  <si>
    <t>https://maps.app.goo.gl/XDoEXoUyeDTXgB946</t>
  </si>
  <si>
    <t xml:space="preserve">- 4 sillas
- 1 mesas
- Internet para el aula
- 12 Tarjeta WIFi
</t>
  </si>
  <si>
    <t xml:space="preserve">- 18 sillas
- 18 mesas
- 18 contactos electricos dobles
- Internet para el aula
- 18 Tarjeta WIFi
</t>
  </si>
  <si>
    <t>Zacatepec, Zacatepec, Defensores de la Republica, 17DPR0016Y</t>
  </si>
  <si>
    <t>Viernes
5 de diciembre de 2025</t>
  </si>
  <si>
    <t>https://maps.app.goo.gl/DSDpK9zUKpdpuy289</t>
  </si>
  <si>
    <t>Cableado estructurado rematado solo en nodo, se requiere terminar el cableado</t>
  </si>
  <si>
    <t>Starlink ya que Redlink solo da 10 Mbps, no hay otro provedor</t>
  </si>
  <si>
    <t>Zacatepec, Zacatepec, Vicente Guerrero, 17DPR0474K</t>
  </si>
  <si>
    <t>https://maps.app.goo.gl/tfJKYDzLSwymteqk7</t>
  </si>
  <si>
    <t>Lunes
8 de diciembre de 2025</t>
  </si>
  <si>
    <t>Temoac</t>
  </si>
  <si>
    <t>Huazulco</t>
  </si>
  <si>
    <t>Se requiere hacer un contrato con un ISP, Se requiere Tarjetas WiFi para las PC</t>
  </si>
  <si>
    <t>Ayala, Chinameca, Martir de Chinameca, 17DPR0486P</t>
  </si>
  <si>
    <t>Javier Robles Mejia</t>
  </si>
  <si>
    <t>https://maps.app.goo.gl/yQeME44Gnpqvu1My9</t>
  </si>
  <si>
    <t>Se requiere Tarjetas WiFi para las PC</t>
  </si>
  <si>
    <t>Alberto Baron Salazar</t>
  </si>
  <si>
    <t>https://maps.app.goo.gl/vG9FVtdjnc55ZjqAA</t>
  </si>
  <si>
    <t xml:space="preserve">- 15 sillas
- 15 mesas
- Energia Electrica
- Internet para el aula
- 20 Tarjeta WIFi
</t>
  </si>
  <si>
    <t>Ayala, Chinameca, Profr. Jesus Reyes heroles, 17DES0029V</t>
  </si>
  <si>
    <t>https://maps.app.goo.gl/nd63tvQZZanBvrSs9</t>
  </si>
  <si>
    <t xml:space="preserve">
- 10 Tarjeta WIFi
</t>
  </si>
  <si>
    <t>Martes
9 de diciembre de 2025</t>
  </si>
  <si>
    <t xml:space="preserve">- 10 sillas
- 10 mesas
- Internet para el aula
- 20 Tarjeta WIFi
</t>
  </si>
  <si>
    <t>Se requiere Tarjetas WiFi para las PC, y hacer instalacion para 1 modem</t>
  </si>
  <si>
    <t>Megacable o Telmex</t>
  </si>
  <si>
    <t>https://maps.app.goo.gl/3uRNWu2QoBJWzAVC8</t>
  </si>
  <si>
    <t xml:space="preserve">- internet para el aula
- 10 Tarjeta WIFi
</t>
  </si>
  <si>
    <t>Instalacion Electrica completa</t>
  </si>
  <si>
    <t>Xochitepec</t>
  </si>
  <si>
    <t>Xochitepec, Xochitepec, 15 DE SEPTIEMBRE, 17DPR1053I</t>
  </si>
  <si>
    <t>Rosa Leticia Arredondo Barrera</t>
  </si>
  <si>
    <t>https://maps.app.goo.gl/C81C49h6ULctF88Y9</t>
  </si>
  <si>
    <t>Ocuituco</t>
  </si>
  <si>
    <t>Jumiltepec</t>
  </si>
  <si>
    <t xml:space="preserve">- 10 contactos electricos dobles y tablero
- Internet para el aula
- 10 Tarjeta WIFi
</t>
  </si>
  <si>
    <t>Xochitepec, Xochitepec, Secundaria Tecnica Num. 37, 17DST0041I</t>
  </si>
  <si>
    <t>https://maps.app.goo.gl/NJo42MTmcLdBdJRY9</t>
  </si>
  <si>
    <t xml:space="preserve">- 18 sillas
- Internet para el aula
- 18 Tarjeta WIFi
</t>
  </si>
  <si>
    <t xml:space="preserve">- 20 sillas
- Internet para el aula
-20 Tarjeta WIFi
</t>
  </si>
  <si>
    <t>Cuautla, Ampliacion Iztaccihuatl, Cuauhtemoc, 17DPR0407M</t>
  </si>
  <si>
    <t xml:space="preserve">- 20 contactos electricos dobles
- Internet para el aula
- 20 Tarjeta WIFi
</t>
  </si>
  <si>
    <t>Adquisición de Mobiliario: Mesas, Sillas, Tarjetas Wifi e Instalación de Contactos de energia para cada equipo de cómputo para las escuelas de la Segunda Fase</t>
  </si>
  <si>
    <t>Jiutepec, Loma Bonita, Alfonso Ruiz Rodriguez, 17DPR0095A</t>
  </si>
  <si>
    <t>- 12 Tarjeta WIFi</t>
  </si>
  <si>
    <t xml:space="preserve">- 2 sillas
- 2 mesas
- 2 contactos electricos dobles y tablero
- Internet para el aula
- 2 Tarjeta WIFi
</t>
  </si>
  <si>
    <t>Tepalcingo, Pitzotlan, Hidalgo y Juarez, 17KPR0018F</t>
  </si>
  <si>
    <t xml:space="preserve">- 16 sillas
- 7 mesas
- Internet para el aula
- 16 Tarjeta WIFi
</t>
  </si>
  <si>
    <t xml:space="preserve">- 2 sillas
- 2 mesas
- Energia panel solar
- 2 contactos electricos dobles y tablero
- Internet para el aula
- 2 Tarjeta WIFi
</t>
  </si>
  <si>
    <t xml:space="preserve">- 20 sillas
- 20 mesas
- 20 contactos electricos dobles y tablero
- Internet para el aula
- 20 Tarjeta WIFi
</t>
  </si>
  <si>
    <t>Yautepec, Yautepec, Emiliano Zapata, 17DPR0512X</t>
  </si>
  <si>
    <t>28 de noviembre de 2025
al
05 de diciembre de 2025</t>
  </si>
  <si>
    <t>Jiutepec</t>
  </si>
  <si>
    <t>Gabriela Salazar Hernández</t>
  </si>
  <si>
    <t>https://maps.app.goo.gl/SkcwGzCMyzPDXsvG6</t>
  </si>
  <si>
    <t>Instalación de Contactos de energia para cada equipo de cómputo para las escuelas de la Segunda Fase</t>
  </si>
  <si>
    <t>8 de diciembre de 2025
al
19 de enero de 2026</t>
  </si>
  <si>
    <t>Solicitud como Adaptador USB – WiFi Tp-Link para escuelas de TBV</t>
  </si>
  <si>
    <t>Yautepec</t>
  </si>
  <si>
    <t>Pilar Perez Reyes</t>
  </si>
  <si>
    <t>https://maps.app.goo.gl/keJTE2AWDYQer4Hg8</t>
  </si>
  <si>
    <t xml:space="preserve">Precio </t>
  </si>
  <si>
    <t>En el lugar fisico no cuentan con los siguiente: energia electrica, internet</t>
  </si>
  <si>
    <t>Requieren 15 mesas y 15 sillas se requiere revisar cableado</t>
  </si>
  <si>
    <t>Segunda Fase</t>
  </si>
  <si>
    <t>Miércoles
10 de diciembre de 2025</t>
  </si>
  <si>
    <t>En el lugar fisico no cuentan con los siguiente: internet y cableado estructurado</t>
  </si>
  <si>
    <t>Requieren 10 mesas y 10 sillas</t>
  </si>
  <si>
    <t>Centro</t>
  </si>
  <si>
    <t>Lenin Villalba</t>
  </si>
  <si>
    <t>En el lugar fisico no cuentan con los siguiente: contactos distribuidos, internet y cableado estructurado</t>
  </si>
  <si>
    <t>Requieren 20 sillas y 20 escritorios</t>
  </si>
  <si>
    <t>Amacuzac</t>
  </si>
  <si>
    <t xml:space="preserve">San Gabriel las Palmas
</t>
  </si>
  <si>
    <t>Ayala</t>
  </si>
  <si>
    <t>Chinameca</t>
  </si>
  <si>
    <t>Jueves
11 de diciembre de 2025</t>
  </si>
  <si>
    <t>Escuela</t>
  </si>
  <si>
    <t>N° Computadoras</t>
  </si>
  <si>
    <t>En el lugar fisico no cuentan con los siguiente: internet</t>
  </si>
  <si>
    <t>Se requieren 20 mesas y 20 sillas, el cableado se debe revisar</t>
  </si>
  <si>
    <t>Axochiapan</t>
  </si>
  <si>
    <t>Rquieren 10 mesas y 10 sillas</t>
  </si>
  <si>
    <t>Axochiapan, Telixtac, El Porvenir Social, 17DPR0280X</t>
  </si>
  <si>
    <t>https://maps.app.goo.gl/M1aQ3c28whNhZphX6</t>
  </si>
  <si>
    <t>Viernes
12 de diciembre de 2025</t>
  </si>
  <si>
    <t>En el lugar fisico no cuentan con los siguiente: contactos distribuidos, internet, cableado estructurado y tablero electrico</t>
  </si>
  <si>
    <t>las mesas y sillas no son las adecuadas</t>
  </si>
  <si>
    <t>Cuautla</t>
  </si>
  <si>
    <t>Melanie Villegas Bustamante</t>
  </si>
  <si>
    <t>https://maps.app.goo.gl/vqna62ZbeM3CnScN9</t>
  </si>
  <si>
    <t>Lunes
15 de diciembre de 2025</t>
  </si>
  <si>
    <t>En el lugar fisico no cuentan con los siguiente: internet, cableado estructurado</t>
  </si>
  <si>
    <t>Tepalcingo</t>
  </si>
  <si>
    <t>Tepalcingo, Buenos Aires, 20 de Noviembre, 17DPR0218U</t>
  </si>
  <si>
    <t>https://maps.app.goo.gl/Mirg7gn5LNWG6FEq8</t>
  </si>
  <si>
    <t>No hay contactos electricos distribuidos, no tienen internet y no tienen cableado estructurado</t>
  </si>
  <si>
    <t>Telmex o Totalplay</t>
  </si>
  <si>
    <t>Martes
16 de diciembre de 2025</t>
  </si>
  <si>
    <t>Se requieren 20 mesas y 20 sillas</t>
  </si>
  <si>
    <t>https://maps.app.goo.gl/K3KZcLLmfQPJNysv9</t>
  </si>
  <si>
    <t>No hay contactos electricos distribuidos, no tienen cableado estructurado y el aula no cuenta con internet</t>
  </si>
  <si>
    <t>Xoxocotla</t>
  </si>
  <si>
    <t>En el lugar fisico no cuentan con los siguiente: tablero electrico, contactos distribuidos, internet y cableado estructurado</t>
  </si>
  <si>
    <t>Totalplay</t>
  </si>
  <si>
    <t>Requieren 16 sillas, 16 mesas, 8 lamparas y todas las adeciaciones electricas</t>
  </si>
  <si>
    <t xml:space="preserve">- 16 sillas
- 16 mesas
- 16 contactos electricos dobles y tablero
- Internet para el aula
- 15 Tarjeta WIFi
</t>
  </si>
  <si>
    <t>Miércoles
17 de diciembre de 2025</t>
  </si>
  <si>
    <t>Se requiere hacer una conexion con un modem, Se requiere Tarjetas WiFi para las PC</t>
  </si>
  <si>
    <t>Requieren 18 sillas, No cuentan con cableado estructurado</t>
  </si>
  <si>
    <t>Tiene poca humedad el techo</t>
  </si>
  <si>
    <t>TDI</t>
  </si>
  <si>
    <t>Total</t>
  </si>
  <si>
    <t>Tiempo instalación TELMEX</t>
  </si>
  <si>
    <t>U7 Pro</t>
  </si>
  <si>
    <t>En el lugar fisico no cuentan con los siguiente: internet. cableado estructurado, y contactos distribuidos</t>
  </si>
  <si>
    <t>Escritorios Viejo y requeiren 20 sillas, requieren 3 focos,</t>
  </si>
  <si>
    <t>Adaptador USB – WiFi Tp-Link</t>
  </si>
  <si>
    <t>Inmediato</t>
  </si>
  <si>
    <t>Jueves
18 de diciembre de 2025</t>
  </si>
  <si>
    <t>En el lugar fisico no cuentan con los siguiente: contacos distribuidos, internet, cableado estructurado</t>
  </si>
  <si>
    <t>Se requieren 8 mesas y 8 sillas</t>
  </si>
  <si>
    <t>10 Dias</t>
  </si>
  <si>
    <t>Se requieren 4 mesas y 4 sillas, requieren lamparas</t>
  </si>
  <si>
    <t>Tlaquiltenango, Lorenzo Vazquez, GRAL. Lorenzo Vazquez, 17DTV0091D</t>
  </si>
  <si>
    <t>Ramiro Perez Montes</t>
  </si>
  <si>
    <t>https://maps.app.goo.gl/QoVZ8vL8zLJjmKVf7</t>
  </si>
  <si>
    <t>Se requieren 18 mesas y 18 sillas, tienen humedad</t>
  </si>
  <si>
    <t>Tlaquiltenango, los domidos, gral. lazaro cardenas del rio, 17KPR0020U</t>
  </si>
  <si>
    <t>https://maps.app.goo.gl/c3GEDg7Rk6xdH8M48</t>
  </si>
  <si>
    <t>Viernes
19 de diciembre de 2025</t>
  </si>
  <si>
    <t>Se requieren 2 mesas y 4 sillas</t>
  </si>
  <si>
    <t>En el lugar fisico no cuentan con los siguiente: contacos distribuidos, internet, cableado estructurado, contactos distribuidos</t>
  </si>
  <si>
    <t>Se requieren 2 mesas y 2 sillas</t>
  </si>
  <si>
    <t>Tlaltizapan</t>
  </si>
  <si>
    <t>En el lugar fisico no cuentan con los siguiente: internet, contacots distribuidos y tablero electrico</t>
  </si>
  <si>
    <t>Se encuentran en mal estado se recomienda cambiar</t>
  </si>
  <si>
    <t>Tlaquiltenango</t>
  </si>
  <si>
    <t>Miércoles
7 de enero de 2026</t>
  </si>
  <si>
    <t>Jueves
8 de enero de 2026</t>
  </si>
  <si>
    <t>Viernes
9 de enero de 2026</t>
  </si>
  <si>
    <t>Jojutlas</t>
  </si>
  <si>
    <t>Tehuixtla</t>
  </si>
  <si>
    <t>AP + PoE + WiFi adapter</t>
  </si>
  <si>
    <t xml:space="preserve">En el lugar fisico no cuentan con los siguiente: Energia electrica, no tiene internet, no tiene cableado estructurado </t>
  </si>
  <si>
    <t>Tiene filtraciones y la escuela realizara las adeciaciones al igual que la energia electrica</t>
  </si>
  <si>
    <t>Equipos</t>
  </si>
  <si>
    <t>Concepto</t>
  </si>
  <si>
    <t>Avance Comp</t>
  </si>
  <si>
    <t>Avance Esc</t>
  </si>
  <si>
    <t>Precio Unitario (MXN)</t>
  </si>
  <si>
    <t>El aula no tiene internet dedicado, depende de otro salon, se requiere tarjetas WiFi para las PC, cableado estructurado en mal estado</t>
  </si>
  <si>
    <t>Costo Total (MXN)</t>
  </si>
  <si>
    <t>MetroBox, les entrega por Fibra 100 Mbps</t>
  </si>
  <si>
    <t>Entregadas</t>
  </si>
  <si>
    <t>Requiere 10 Sillas</t>
  </si>
  <si>
    <t>Adaptadores USB WiFi</t>
  </si>
  <si>
    <t>Access Points U7 Pro</t>
  </si>
  <si>
    <t>Inyectores PoE</t>
  </si>
  <si>
    <t>Instalación ISP</t>
  </si>
  <si>
    <t>Total inversión inicial</t>
  </si>
  <si>
    <t>Costo Mensual Total (MXN)</t>
  </si>
  <si>
    <t>Renta ISP</t>
  </si>
  <si>
    <t>Lunes
12 de enero de 2026</t>
  </si>
  <si>
    <t>Monto (MXN)</t>
  </si>
  <si>
    <t>Revisar estado del cableado, y no tienen sillas</t>
  </si>
  <si>
    <t>Inversión base</t>
  </si>
  <si>
    <t>Escenario +20%</t>
  </si>
  <si>
    <t>Escenario +25%</t>
  </si>
  <si>
    <t>Precio (MXN)</t>
  </si>
  <si>
    <t>20% Sobre Consto Total</t>
  </si>
  <si>
    <t>Martes
13 de enero de 2026</t>
  </si>
  <si>
    <t>Pendientes</t>
  </si>
  <si>
    <t>En el lugar fisico no cuentan con los siguiente: internet, cableado estructurado, contactos distribuidos</t>
  </si>
  <si>
    <t>Megacable o Starlink</t>
  </si>
  <si>
    <t>Requieren 12 sillas y 12 escritorios, el lugar se calienta arriba de los 32 a 45 C°</t>
  </si>
  <si>
    <t>Instalaciones eléctricas completas (tablero + contactos dobles)</t>
  </si>
  <si>
    <t>------</t>
  </si>
  <si>
    <t>No. Computadoras</t>
  </si>
  <si>
    <t>Costo Instalación (MXN)</t>
  </si>
  <si>
    <t>Jojutla, Mártires de la Revolución</t>
  </si>
  <si>
    <t>Por aclarar</t>
  </si>
  <si>
    <t>Huitzilac, José Ma. Morelos y Pavón</t>
  </si>
  <si>
    <t>Coatetelco, Cuauhtémoc</t>
  </si>
  <si>
    <t>Zacatepec, 16 de septiembre</t>
  </si>
  <si>
    <t>Zacatepec, Defensores de la República</t>
  </si>
  <si>
    <t>Zacatepec, Vicente Guerrero</t>
  </si>
  <si>
    <t>Ayala, Mártir de Chinameca</t>
  </si>
  <si>
    <t>Tlayacapan, Niños Héroes</t>
  </si>
  <si>
    <t>Xochitepec, 15 de septiembre</t>
  </si>
  <si>
    <t>Cuautla, Cuauhtémoc</t>
  </si>
  <si>
    <t>Hueyapan, EMSAD 05</t>
  </si>
  <si>
    <t>Hueyapan, Olivar</t>
  </si>
  <si>
    <t>Miércoles
14 de enero de 2026</t>
  </si>
  <si>
    <t>Jiutepec, Alfonso Ruiz Rodríguez</t>
  </si>
  <si>
    <t>Tepalcingo, Hidalgo y Juárez</t>
  </si>
  <si>
    <t>Yautepec, Emiliano Zapata</t>
  </si>
  <si>
    <t>TOTAL</t>
  </si>
  <si>
    <t>requieren 2 mesas y 2 sillas</t>
  </si>
  <si>
    <t>$530,000 MXN</t>
  </si>
  <si>
    <t>Jueves
15 de enero de 2026</t>
  </si>
  <si>
    <t>1 mesa en mal estado y 4 sillas en mal estado</t>
  </si>
  <si>
    <t>Viernes
16 de enero de 2026</t>
  </si>
  <si>
    <t>Equipos para entregar</t>
  </si>
  <si>
    <t>Kenia Franco con apoyo de Gustavo Álvarez</t>
  </si>
  <si>
    <t>Requieren 7 escriotorios y 16 sillas</t>
  </si>
  <si>
    <t>Computadoras Contempladas</t>
  </si>
  <si>
    <t>Computadoras para entregarles</t>
  </si>
  <si>
    <t>Propuesta de ISP</t>
  </si>
  <si>
    <t>Se puede realizar entrega</t>
  </si>
  <si>
    <t>Anotaciones</t>
  </si>
  <si>
    <t>Telmex Fibra 100 Mbps Simetrico | Instalacion $1600, $399 x mes</t>
  </si>
  <si>
    <t>Lunes
19 de enero de 2026</t>
  </si>
  <si>
    <t>no hay contactos distribuidos, no hay internet, no tiene cableado</t>
  </si>
  <si>
    <t>requieren 2 mesas y 2 sillas, la energia electrica es panel solar</t>
  </si>
  <si>
    <t>Si</t>
  </si>
  <si>
    <t>ok</t>
  </si>
  <si>
    <t>Martes
20 de enero de 2026</t>
  </si>
  <si>
    <t>Se requiere hacer un contrato con un ISP</t>
  </si>
  <si>
    <t>Starlink o Telmex</t>
  </si>
  <si>
    <t>Reforzar chapa</t>
  </si>
  <si>
    <t>Quedarian pendiente 10, ya que no cuentas con mobiliario suficiente o en su caso, contemplar otra escuela</t>
  </si>
  <si>
    <t>Conflicto de Turno</t>
  </si>
  <si>
    <t>Miércoles
21 de enero de 2026</t>
  </si>
  <si>
    <t>Se requiere revisar el voltaje, no tiene internet, no tiene cableado estructurado</t>
  </si>
  <si>
    <t>telmex</t>
  </si>
  <si>
    <t>Jueves
22 de enero de 2026</t>
  </si>
  <si>
    <t>Falta patch Panel y Switch</t>
  </si>
  <si>
    <t>Viernes
23 de enero de 2026</t>
  </si>
  <si>
    <t>Adecuacion del Cableado estructurado</t>
  </si>
  <si>
    <t>Cámara</t>
  </si>
  <si>
    <t>Compra Ezviz Cámara IP WiFi 3K Día/Noche H9C DUAL 3K | Cyberpuerta.mx</t>
  </si>
  <si>
    <t>No</t>
  </si>
  <si>
    <t>Equipos para entrega</t>
  </si>
  <si>
    <t>Equipos en espera</t>
  </si>
  <si>
    <t>Conflicto de turnos</t>
  </si>
  <si>
    <t>Se requiere revisar el voltaje, no tiene iinternet, no tiene cableado estructurado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</si>
</sst>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&quot;, &quot;d&quot; de &quot;mmmm&quot; de &quot;yyyy"/>
    <numFmt numFmtId="165" formatCode="&quot;$&quot;#,##0.00"/>
    <numFmt numFmtId="167" formatCode="mmmm\ yyyy"/>
    <numFmt numFmtId="168" formatCode="&quot;$&quot;#,##0"/>
  </numFmts>
  <fonts count="77" x14ac:knownFonts="1">
    <font>
      <sz val="10"/>
      <color rgb="FF000000"/>
      <name val="Arial"/>
      <scheme val="minor"/>
    </font>
    <font>
      <b/>
      <sz val="17"/>
      <color rgb="FF274E13"/>
      <name val="Arial"/>
      <scheme val="minor"/>
    </font>
    <font>
      <b/>
      <sz val="14"/>
      <color rgb="FF274E13"/>
      <name val="Arial"/>
      <scheme val="minor"/>
    </font>
    <font>
      <sz val="10"/>
      <name val="Arial"/>
    </font>
    <font>
      <sz val="18"/>
      <color theme="1"/>
      <name val="Arial"/>
      <scheme val="minor"/>
    </font>
    <font>
      <sz val="10"/>
      <color theme="1"/>
      <name val="Arial"/>
      <scheme val="minor"/>
    </font>
    <font>
      <b/>
      <sz val="24"/>
      <color rgb="FF000000"/>
      <name val="Arial"/>
      <scheme val="minor"/>
    </font>
    <font>
      <sz val="12"/>
      <color theme="1"/>
      <name val="Arial"/>
      <scheme val="minor"/>
    </font>
    <font>
      <b/>
      <sz val="36"/>
      <color rgb="FF000000"/>
      <name val="Arial"/>
      <scheme val="minor"/>
    </font>
    <font>
      <b/>
      <sz val="32"/>
      <color rgb="FF000000"/>
      <name val="Arial"/>
      <scheme val="minor"/>
    </font>
    <font>
      <b/>
      <sz val="22"/>
      <color rgb="FF000000"/>
      <name val="Arial"/>
      <scheme val="minor"/>
    </font>
    <font>
      <b/>
      <sz val="19"/>
      <color rgb="FF000000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14"/>
      <color rgb="FF000000"/>
      <name val="Arial"/>
      <scheme val="minor"/>
    </font>
    <font>
      <b/>
      <sz val="34"/>
      <color rgb="FF000000"/>
      <name val="Arial"/>
      <scheme val="minor"/>
    </font>
    <font>
      <sz val="28"/>
      <color theme="1"/>
      <name val="Arial"/>
      <scheme val="minor"/>
    </font>
    <font>
      <sz val="28"/>
      <color rgb="FF274E13"/>
      <name val="Arial"/>
      <scheme val="minor"/>
    </font>
    <font>
      <u/>
      <sz val="12"/>
      <color rgb="FF0000FF"/>
      <name val="Arial"/>
    </font>
    <font>
      <b/>
      <sz val="28"/>
      <color rgb="FF000000"/>
      <name val="Arial"/>
      <scheme val="minor"/>
    </font>
    <font>
      <u/>
      <sz val="12"/>
      <color rgb="FF0000FF"/>
      <name val="Arial"/>
    </font>
    <font>
      <u/>
      <sz val="28"/>
      <color rgb="FF0000FF"/>
      <name val="Arial"/>
    </font>
    <font>
      <b/>
      <sz val="17"/>
      <color rgb="FF000000"/>
      <name val="Arial"/>
      <scheme val="minor"/>
    </font>
    <font>
      <u/>
      <sz val="12"/>
      <color rgb="FF0000FF"/>
      <name val="Arial"/>
    </font>
    <font>
      <sz val="17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sz val="12"/>
      <color theme="1"/>
      <name val="Arial"/>
    </font>
    <font>
      <u/>
      <sz val="17"/>
      <color rgb="FF0000FF"/>
      <name val="Arial"/>
    </font>
    <font>
      <u/>
      <sz val="12"/>
      <color rgb="FF1155CC"/>
      <name val="Arial"/>
    </font>
    <font>
      <b/>
      <sz val="14"/>
      <color rgb="FF274E13"/>
      <name val="Arial"/>
    </font>
    <font>
      <u/>
      <sz val="28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sz val="21"/>
      <color theme="1"/>
      <name val="Arial"/>
      <scheme val="minor"/>
    </font>
    <font>
      <u/>
      <sz val="12"/>
      <color rgb="FF1155CC"/>
      <name val="Arial"/>
    </font>
    <font>
      <sz val="10"/>
      <color theme="1"/>
      <name val="Arial"/>
    </font>
    <font>
      <b/>
      <sz val="31"/>
      <color rgb="FFFFFFFF"/>
      <name val="Arial"/>
      <scheme val="minor"/>
    </font>
    <font>
      <sz val="20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12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1155CC"/>
      <name val="Arial"/>
    </font>
    <font>
      <sz val="11"/>
      <color theme="1"/>
      <name val="Arial"/>
      <scheme val="minor"/>
    </font>
    <font>
      <sz val="17"/>
      <color rgb="FFFFFFFF"/>
      <name val="Arial"/>
      <scheme val="minor"/>
    </font>
    <font>
      <b/>
      <sz val="17"/>
      <color rgb="FFFFFFFF"/>
      <name val="Arial"/>
      <scheme val="minor"/>
    </font>
    <font>
      <u/>
      <sz val="12"/>
      <color rgb="FF1155CC"/>
      <name val="Arial"/>
    </font>
    <font>
      <sz val="15"/>
      <color theme="1"/>
      <name val="Arial"/>
      <scheme val="minor"/>
    </font>
    <font>
      <b/>
      <sz val="16"/>
      <color theme="1"/>
      <name val="Arial"/>
      <scheme val="minor"/>
    </font>
    <font>
      <b/>
      <sz val="10"/>
      <color theme="1"/>
      <name val="Arial"/>
      <scheme val="minor"/>
    </font>
    <font>
      <b/>
      <sz val="17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12"/>
      <color theme="1"/>
      <name val="Arial"/>
    </font>
    <font>
      <u/>
      <sz val="12"/>
      <color rgb="FF1155CC"/>
      <name val="Arial"/>
    </font>
    <font>
      <b/>
      <sz val="18"/>
      <color theme="1"/>
      <name val="Arial"/>
      <scheme val="minor"/>
    </font>
    <font>
      <u/>
      <sz val="12"/>
      <color rgb="FF1155CC"/>
      <name val="Arial"/>
    </font>
    <font>
      <b/>
      <sz val="15"/>
      <color rgb="FF000000"/>
      <name val="Arial"/>
      <scheme val="minor"/>
    </font>
    <font>
      <u/>
      <sz val="15"/>
      <color rgb="FF0000FF"/>
      <name val="Arial"/>
    </font>
    <font>
      <sz val="32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sz val="15"/>
      <color theme="1"/>
      <name val="Arial"/>
    </font>
    <font>
      <u/>
      <sz val="12"/>
      <color rgb="FF1155CC"/>
      <name val="Arial"/>
    </font>
    <font>
      <b/>
      <sz val="15"/>
      <color rgb="FFFFFFFF"/>
      <name val="Arial"/>
      <scheme val="minor"/>
    </font>
    <font>
      <b/>
      <sz val="13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22"/>
      <color rgb="FF274E13"/>
      <name val="Arial"/>
      <scheme val="minor"/>
    </font>
    <font>
      <b/>
      <sz val="32"/>
      <color rgb="FF274E13"/>
      <name val="Arial"/>
      <scheme val="minor"/>
    </font>
    <font>
      <b/>
      <sz val="22"/>
      <color rgb="FF3D85C6"/>
      <name val="Arial"/>
      <scheme val="minor"/>
    </font>
    <font>
      <b/>
      <sz val="32"/>
      <color rgb="FF3D85C6"/>
      <name val="Arial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double">
        <color rgb="FFFF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165" fontId="16" fillId="0" borderId="6" xfId="0" applyNumberFormat="1" applyFont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165" fontId="24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65" fontId="16" fillId="0" borderId="6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65" fontId="24" fillId="0" borderId="0" xfId="0" applyNumberFormat="1" applyFont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wrapText="1"/>
    </xf>
    <xf numFmtId="165" fontId="16" fillId="0" borderId="9" xfId="0" applyNumberFormat="1" applyFont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165" fontId="16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center" wrapText="1"/>
    </xf>
    <xf numFmtId="165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37" fillId="13" borderId="1" xfId="0" applyFont="1" applyFill="1" applyBorder="1"/>
    <xf numFmtId="165" fontId="16" fillId="0" borderId="1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40" fillId="15" borderId="1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41" fillId="15" borderId="1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164" fontId="7" fillId="16" borderId="1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center" vertical="center" wrapText="1"/>
    </xf>
    <xf numFmtId="0" fontId="44" fillId="16" borderId="1" xfId="0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vertical="center"/>
    </xf>
    <xf numFmtId="164" fontId="7" fillId="17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46" fillId="1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47" fillId="18" borderId="1" xfId="0" applyFont="1" applyFill="1" applyBorder="1" applyAlignment="1">
      <alignment horizontal="center" vertical="center" wrapText="1"/>
    </xf>
    <xf numFmtId="0" fontId="48" fillId="0" borderId="0" xfId="0" applyFont="1"/>
    <xf numFmtId="165" fontId="49" fillId="14" borderId="0" xfId="0" applyNumberFormat="1" applyFont="1" applyFill="1" applyAlignment="1">
      <alignment horizontal="center" vertical="center"/>
    </xf>
    <xf numFmtId="0" fontId="28" fillId="15" borderId="1" xfId="0" applyFont="1" applyFill="1" applyBorder="1" applyAlignment="1">
      <alignment horizontal="center" wrapText="1"/>
    </xf>
    <xf numFmtId="0" fontId="28" fillId="18" borderId="1" xfId="0" applyFont="1" applyFill="1" applyBorder="1" applyAlignment="1">
      <alignment horizontal="center" wrapText="1"/>
    </xf>
    <xf numFmtId="0" fontId="28" fillId="1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8" fillId="10" borderId="1" xfId="0" applyFont="1" applyFill="1" applyBorder="1" applyAlignment="1">
      <alignment horizontal="center" wrapText="1"/>
    </xf>
    <xf numFmtId="0" fontId="51" fillId="19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0" fontId="5" fillId="12" borderId="1" xfId="0" applyFont="1" applyFill="1" applyBorder="1"/>
    <xf numFmtId="0" fontId="2" fillId="2" borderId="7" xfId="0" applyFont="1" applyFill="1" applyBorder="1" applyAlignment="1">
      <alignment horizontal="center" vertical="center" wrapText="1"/>
    </xf>
    <xf numFmtId="0" fontId="5" fillId="12" borderId="0" xfId="0" applyFont="1" applyFill="1"/>
    <xf numFmtId="0" fontId="52" fillId="12" borderId="1" xfId="0" applyFont="1" applyFill="1" applyBorder="1" applyAlignment="1">
      <alignment horizontal="center" vertical="center"/>
    </xf>
    <xf numFmtId="0" fontId="54" fillId="12" borderId="0" xfId="0" applyFont="1" applyFill="1" applyAlignment="1">
      <alignment horizontal="center"/>
    </xf>
    <xf numFmtId="0" fontId="55" fillId="12" borderId="1" xfId="0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 vertical="center" wrapText="1"/>
    </xf>
    <xf numFmtId="0" fontId="57" fillId="9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wrapText="1"/>
    </xf>
    <xf numFmtId="0" fontId="59" fillId="4" borderId="1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center" vertical="center" wrapText="1"/>
    </xf>
    <xf numFmtId="0" fontId="7" fillId="21" borderId="7" xfId="0" applyFont="1" applyFill="1" applyBorder="1" applyAlignment="1">
      <alignment horizontal="center" vertical="center" wrapText="1"/>
    </xf>
    <xf numFmtId="0" fontId="7" fillId="21" borderId="8" xfId="0" applyFont="1" applyFill="1" applyBorder="1" applyAlignment="1">
      <alignment horizontal="center" vertical="center" wrapText="1"/>
    </xf>
    <xf numFmtId="0" fontId="62" fillId="2" borderId="6" xfId="0" applyFont="1" applyFill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165" fontId="52" fillId="0" borderId="6" xfId="0" applyNumberFormat="1" applyFont="1" applyBorder="1" applyAlignment="1">
      <alignment horizontal="center" vertical="center" wrapText="1"/>
    </xf>
    <xf numFmtId="165" fontId="52" fillId="0" borderId="6" xfId="0" applyNumberFormat="1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167" fontId="64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65" fillId="7" borderId="1" xfId="0" applyFont="1" applyFill="1" applyBorder="1" applyAlignment="1">
      <alignment horizontal="center" vertical="center" wrapText="1"/>
    </xf>
    <xf numFmtId="0" fontId="66" fillId="7" borderId="1" xfId="0" applyFont="1" applyFill="1" applyBorder="1" applyAlignment="1">
      <alignment horizontal="center" vertical="center" wrapText="1"/>
    </xf>
    <xf numFmtId="0" fontId="67" fillId="13" borderId="6" xfId="0" applyFont="1" applyFill="1" applyBorder="1" applyAlignment="1">
      <alignment horizontal="center" wrapText="1"/>
    </xf>
    <xf numFmtId="165" fontId="67" fillId="13" borderId="6" xfId="0" applyNumberFormat="1" applyFont="1" applyFill="1" applyBorder="1" applyAlignment="1">
      <alignment horizontal="center" wrapText="1"/>
    </xf>
    <xf numFmtId="165" fontId="67" fillId="13" borderId="6" xfId="0" applyNumberFormat="1" applyFont="1" applyFill="1" applyBorder="1" applyAlignment="1">
      <alignment horizontal="center"/>
    </xf>
    <xf numFmtId="0" fontId="52" fillId="0" borderId="10" xfId="0" applyFont="1" applyBorder="1" applyAlignment="1">
      <alignment horizontal="center" vertical="center" wrapText="1"/>
    </xf>
    <xf numFmtId="165" fontId="52" fillId="0" borderId="10" xfId="0" applyNumberFormat="1" applyFont="1" applyBorder="1" applyAlignment="1">
      <alignment horizontal="center" vertical="center"/>
    </xf>
    <xf numFmtId="165" fontId="52" fillId="0" borderId="10" xfId="0" applyNumberFormat="1" applyFont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0" xfId="0" applyFont="1"/>
    <xf numFmtId="0" fontId="52" fillId="0" borderId="0" xfId="0" applyFont="1" applyAlignment="1">
      <alignment horizontal="center"/>
    </xf>
    <xf numFmtId="0" fontId="68" fillId="8" borderId="1" xfId="0" applyFont="1" applyFill="1" applyBorder="1" applyAlignment="1">
      <alignment horizontal="center" vertical="center" wrapText="1"/>
    </xf>
    <xf numFmtId="165" fontId="69" fillId="14" borderId="20" xfId="0" applyNumberFormat="1" applyFont="1" applyFill="1" applyBorder="1" applyAlignment="1">
      <alignment horizontal="center" vertical="center" wrapText="1"/>
    </xf>
    <xf numFmtId="0" fontId="54" fillId="0" borderId="0" xfId="0" applyFont="1"/>
    <xf numFmtId="0" fontId="60" fillId="23" borderId="0" xfId="0" applyFont="1" applyFill="1" applyAlignment="1">
      <alignment horizontal="center"/>
    </xf>
    <xf numFmtId="0" fontId="52" fillId="0" borderId="0" xfId="0" applyFont="1" applyAlignment="1">
      <alignment vertical="center" wrapText="1"/>
    </xf>
    <xf numFmtId="0" fontId="55" fillId="24" borderId="0" xfId="0" applyFont="1" applyFill="1" applyAlignment="1">
      <alignment horizontal="center"/>
    </xf>
    <xf numFmtId="0" fontId="54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4" fillId="0" borderId="1" xfId="0" applyFont="1" applyBorder="1" applyAlignment="1">
      <alignment horizontal="center" vertical="center"/>
    </xf>
    <xf numFmtId="165" fontId="52" fillId="0" borderId="0" xfId="0" applyNumberFormat="1" applyFont="1"/>
    <xf numFmtId="165" fontId="5" fillId="0" borderId="1" xfId="0" applyNumberFormat="1" applyFont="1" applyBorder="1"/>
    <xf numFmtId="0" fontId="54" fillId="0" borderId="1" xfId="0" applyFont="1" applyBorder="1" applyAlignment="1">
      <alignment horizontal="center" wrapText="1"/>
    </xf>
    <xf numFmtId="0" fontId="4" fillId="9" borderId="0" xfId="0" applyFont="1" applyFill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10" fontId="53" fillId="15" borderId="0" xfId="0" applyNumberFormat="1" applyFont="1" applyFill="1"/>
    <xf numFmtId="0" fontId="4" fillId="22" borderId="0" xfId="0" applyFont="1" applyFill="1"/>
    <xf numFmtId="165" fontId="5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right"/>
    </xf>
    <xf numFmtId="0" fontId="4" fillId="22" borderId="0" xfId="0" applyFont="1" applyFill="1" applyAlignment="1">
      <alignment horizontal="center"/>
    </xf>
    <xf numFmtId="0" fontId="70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8" fontId="5" fillId="0" borderId="1" xfId="0" applyNumberFormat="1" applyFont="1" applyBorder="1"/>
    <xf numFmtId="0" fontId="4" fillId="12" borderId="0" xfId="0" applyFont="1" applyFill="1"/>
    <xf numFmtId="0" fontId="4" fillId="12" borderId="0" xfId="0" applyFont="1" applyFill="1" applyAlignment="1">
      <alignment horizontal="center"/>
    </xf>
    <xf numFmtId="0" fontId="60" fillId="0" borderId="0" xfId="0" applyFont="1"/>
    <xf numFmtId="0" fontId="60" fillId="0" borderId="0" xfId="0" applyFont="1" applyAlignment="1">
      <alignment horizontal="center"/>
    </xf>
    <xf numFmtId="0" fontId="70" fillId="0" borderId="1" xfId="0" applyFont="1" applyBorder="1"/>
    <xf numFmtId="0" fontId="9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74" fillId="2" borderId="22" xfId="0" applyFont="1" applyFill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50" fillId="14" borderId="0" xfId="0" applyNumberFormat="1" applyFont="1" applyFill="1" applyAlignment="1">
      <alignment horizontal="center" vertical="center" wrapText="1"/>
    </xf>
    <xf numFmtId="0" fontId="0" fillId="0" borderId="0" xfId="0"/>
    <xf numFmtId="0" fontId="52" fillId="1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3" fillId="1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164" fontId="7" fillId="10" borderId="5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164" fontId="7" fillId="15" borderId="5" xfId="0" applyNumberFormat="1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 wrapText="1"/>
    </xf>
    <xf numFmtId="164" fontId="7" fillId="18" borderId="5" xfId="0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 vertical="center" wrapText="1"/>
    </xf>
    <xf numFmtId="164" fontId="7" fillId="13" borderId="5" xfId="0" applyNumberFormat="1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164" fontId="7" fillId="19" borderId="5" xfId="0" applyNumberFormat="1" applyFont="1" applyFill="1" applyBorder="1" applyAlignment="1">
      <alignment horizontal="center" vertical="center"/>
    </xf>
    <xf numFmtId="0" fontId="7" fillId="19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1" borderId="7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165" fontId="38" fillId="14" borderId="0" xfId="0" applyNumberFormat="1" applyFont="1" applyFill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5" fontId="69" fillId="14" borderId="0" xfId="0" applyNumberFormat="1" applyFont="1" applyFill="1" applyAlignment="1">
      <alignment horizontal="center" vertical="center" wrapText="1"/>
    </xf>
    <xf numFmtId="165" fontId="69" fillId="14" borderId="20" xfId="0" applyNumberFormat="1" applyFont="1" applyFill="1" applyBorder="1" applyAlignment="1">
      <alignment horizontal="center" vertical="center" wrapText="1"/>
    </xf>
    <xf numFmtId="0" fontId="3" fillId="0" borderId="20" xfId="0" applyFont="1" applyBorder="1"/>
    <xf numFmtId="0" fontId="62" fillId="2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62" fillId="2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7" xfId="0" applyFont="1" applyBorder="1"/>
    <xf numFmtId="0" fontId="3" fillId="0" borderId="18" xfId="0" applyFont="1" applyBorder="1"/>
    <xf numFmtId="0" fontId="62" fillId="2" borderId="16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52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3" fillId="2" borderId="2" xfId="0" applyFont="1" applyFill="1" applyBorder="1" applyAlignment="1">
      <alignment horizontal="center" vertical="center" wrapText="1"/>
    </xf>
    <xf numFmtId="0" fontId="75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DttyQj40-ihv486HajS2_P8j6ZiRYi2_?usp=drive_link" TargetMode="External"/><Relationship Id="rId21" Type="http://schemas.openxmlformats.org/officeDocument/2006/relationships/hyperlink" Target="https://maps.app.goo.gl/cr6nDUXMLRT5gAxL7" TargetMode="External"/><Relationship Id="rId42" Type="http://schemas.openxmlformats.org/officeDocument/2006/relationships/hyperlink" Target="https://drive.google.com/drive/folders/16Ea857S84OLENY5iGxGW5afaS2NcQmAJ?usp=drive_link" TargetMode="External"/><Relationship Id="rId47" Type="http://schemas.openxmlformats.org/officeDocument/2006/relationships/hyperlink" Target="https://mx.store.ui.com/mx/en/category/all-wifi/products/u6-pro" TargetMode="External"/><Relationship Id="rId63" Type="http://schemas.openxmlformats.org/officeDocument/2006/relationships/hyperlink" Target="https://maps.app.goo.gl/BGff9gMRu2nUFbFQ9" TargetMode="External"/><Relationship Id="rId68" Type="http://schemas.openxmlformats.org/officeDocument/2006/relationships/hyperlink" Target="https://drive.google.com/drive/folders/1ASmv651gI8KiPa8v7GUEu9_qSp2RzRli?usp=drive_link" TargetMode="External"/><Relationship Id="rId84" Type="http://schemas.openxmlformats.org/officeDocument/2006/relationships/hyperlink" Target="https://drive.google.com/drive/folders/1zzihBaMWqb_Y29N_nP0hX7onNWm3m4By?usp=drive_link" TargetMode="External"/><Relationship Id="rId89" Type="http://schemas.openxmlformats.org/officeDocument/2006/relationships/hyperlink" Target="https://maps.app.goo.gl/XDoEXoUyeDTXgB946" TargetMode="External"/><Relationship Id="rId112" Type="http://schemas.openxmlformats.org/officeDocument/2006/relationships/hyperlink" Target="https://drive.google.com/drive/folders/1qZflvSh5c1zljyU8zzmeYkCrJ-99S-tB?usp=drive_link" TargetMode="External"/><Relationship Id="rId16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07" Type="http://schemas.openxmlformats.org/officeDocument/2006/relationships/hyperlink" Target="https://maps.app.goo.gl/c3GEDg7Rk6xdH8M48" TargetMode="External"/><Relationship Id="rId11" Type="http://schemas.openxmlformats.org/officeDocument/2006/relationships/hyperlink" Target="https://mx.store.ui.com/mx/en/category/all-wifi/products/u6-pro" TargetMode="External"/><Relationship Id="rId32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37" Type="http://schemas.openxmlformats.org/officeDocument/2006/relationships/hyperlink" Target="https://maps.app.goo.gl/SLh4yQSJx9JTfqQp8" TargetMode="External"/><Relationship Id="rId53" Type="http://schemas.openxmlformats.org/officeDocument/2006/relationships/hyperlink" Target="https://maps.app.goo.gl/rKGa4poFCQTQHemX8?g_st=ac" TargetMode="External"/><Relationship Id="rId58" Type="http://schemas.openxmlformats.org/officeDocument/2006/relationships/hyperlink" Target="https://drive.google.com/drive/folders/1zHtA-84YCi8W6nDPbySl3LzfwFSLaP9Z?usp=drive_link" TargetMode="External"/><Relationship Id="rId74" Type="http://schemas.openxmlformats.org/officeDocument/2006/relationships/hyperlink" Target="https://drive.google.com/drive/folders/1il5yGgmOlsCNZRdQLOzRdOssImO5vdAj?usp=drive_link" TargetMode="External"/><Relationship Id="rId79" Type="http://schemas.openxmlformats.org/officeDocument/2006/relationships/hyperlink" Target="https://maps.app.goo.gl/HPp9pYs2G2H8KDb4A" TargetMode="External"/><Relationship Id="rId102" Type="http://schemas.openxmlformats.org/officeDocument/2006/relationships/hyperlink" Target="https://drive.google.com/drive/folders/1oAlF9gw6zGEX6Kaib93hk_Ltx0ets1b3?usp=drive_link" TargetMode="External"/><Relationship Id="rId5" Type="http://schemas.openxmlformats.org/officeDocument/2006/relationships/hyperlink" Target="https://maps.app.goo.gl/ouwjxwER3hB6vBhX8" TargetMode="External"/><Relationship Id="rId90" Type="http://schemas.openxmlformats.org/officeDocument/2006/relationships/hyperlink" Target="https://drive.google.com/drive/folders/1YYMTkcdyljpah441N7ghRsy8H1N4DK7D?usp=drive_link" TargetMode="External"/><Relationship Id="rId95" Type="http://schemas.openxmlformats.org/officeDocument/2006/relationships/hyperlink" Target="https://maps.app.goo.gl/iUVCwFZcjB5qkLWs9" TargetMode="External"/><Relationship Id="rId22" Type="http://schemas.openxmlformats.org/officeDocument/2006/relationships/hyperlink" Target="https://drive.google.com/drive/folders/1fSJv8wUAWmy1X6Me7ml_pQ5Kvd5RgsFg?usp=drive_link" TargetMode="External"/><Relationship Id="rId27" Type="http://schemas.openxmlformats.org/officeDocument/2006/relationships/hyperlink" Target="https://mx.store.ui.com/mx/en/category/all-wifi/products/u6-pro" TargetMode="External"/><Relationship Id="rId43" Type="http://schemas.openxmlformats.org/officeDocument/2006/relationships/hyperlink" Target="https://mx.store.ui.com/mx/en/category/all-wifi/products/u6-pro" TargetMode="External"/><Relationship Id="rId48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64" Type="http://schemas.openxmlformats.org/officeDocument/2006/relationships/hyperlink" Target="https://drive.google.com/drive/folders/1CApQ4ofs_Nt-e_1ssxONrbiK3DKpcsk_?usp=drive_link" TargetMode="External"/><Relationship Id="rId69" Type="http://schemas.openxmlformats.org/officeDocument/2006/relationships/hyperlink" Target="https://maps.app.goo.gl/vqna62ZbeM3CnScN9" TargetMode="External"/><Relationship Id="rId113" Type="http://schemas.openxmlformats.org/officeDocument/2006/relationships/hyperlink" Target="https://maps.app.goo.gl/Mirg7gn5LNWG6FEq8" TargetMode="External"/><Relationship Id="rId80" Type="http://schemas.openxmlformats.org/officeDocument/2006/relationships/hyperlink" Target="https://drive.google.com/drive/folders/1uPWUpgZjx1wLQWezAXF6v-QjxEfwuu9K?usp=drive_link" TargetMode="External"/><Relationship Id="rId85" Type="http://schemas.openxmlformats.org/officeDocument/2006/relationships/hyperlink" Target="https://maps.app.goo.gl/reyKcK7vFL69GBk5A" TargetMode="External"/><Relationship Id="rId12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7" Type="http://schemas.openxmlformats.org/officeDocument/2006/relationships/hyperlink" Target="https://maps.app.goo.gl/jmDunccPPVk9bzMy7" TargetMode="External"/><Relationship Id="rId33" Type="http://schemas.openxmlformats.org/officeDocument/2006/relationships/hyperlink" Target="https://maps.app.goo.gl/KHCEH9gCMtiEuP5TA" TargetMode="External"/><Relationship Id="rId38" Type="http://schemas.openxmlformats.org/officeDocument/2006/relationships/hyperlink" Target="https://drive.google.com/drive/folders/1G-Ve87WSgqvyeT4bn62ZjriKen3nR-f5?usp=drive_link" TargetMode="External"/><Relationship Id="rId59" Type="http://schemas.openxmlformats.org/officeDocument/2006/relationships/hyperlink" Target="https://maps.app.goo.gl/A6zkUwFXXGJH8JPZA" TargetMode="External"/><Relationship Id="rId103" Type="http://schemas.openxmlformats.org/officeDocument/2006/relationships/hyperlink" Target="https://maps.app.goo.gl/oBCdynk2VvUuRaTC6" TargetMode="External"/><Relationship Id="rId108" Type="http://schemas.openxmlformats.org/officeDocument/2006/relationships/hyperlink" Target="https://drive.google.com/drive/folders/1CpgeKnCzU9sw-jJannhpEmxM1cxc7kIz?usp=drive_link" TargetMode="External"/><Relationship Id="rId54" Type="http://schemas.openxmlformats.org/officeDocument/2006/relationships/hyperlink" Target="https://drive.google.com/drive/folders/1qFThk7KJkyI7bEFQjabITRVnChkvoUus?usp=drive_link" TargetMode="External"/><Relationship Id="rId70" Type="http://schemas.openxmlformats.org/officeDocument/2006/relationships/hyperlink" Target="https://drive.google.com/drive/folders/1DBOvq0i4Yx30pj4IsrekChfHctszN_mH?usp=drive_link" TargetMode="External"/><Relationship Id="rId75" Type="http://schemas.openxmlformats.org/officeDocument/2006/relationships/hyperlink" Target="https://maps.app.goo.gl/C81C49h6ULctF88Y9" TargetMode="External"/><Relationship Id="rId91" Type="http://schemas.openxmlformats.org/officeDocument/2006/relationships/hyperlink" Target="https://maps.app.goo.gl/DSDpK9zUKpdpuy289" TargetMode="External"/><Relationship Id="rId96" Type="http://schemas.openxmlformats.org/officeDocument/2006/relationships/hyperlink" Target="https://drive.google.com/drive/folders/1eHlBFM1reVzgtIXheougOtJzbys6mLL-?usp=drive_link" TargetMode="External"/><Relationship Id="rId1" Type="http://schemas.openxmlformats.org/officeDocument/2006/relationships/hyperlink" Target="https://maps.app.goo.gl/WvXNKyLGQEEv5zXL8" TargetMode="External"/><Relationship Id="rId6" Type="http://schemas.openxmlformats.org/officeDocument/2006/relationships/hyperlink" Target="https://drive.google.com/drive/folders/17hJshh0RgRqix5G23NJnaIGMkOuU8nVs?usp=drive_link" TargetMode="External"/><Relationship Id="rId15" Type="http://schemas.openxmlformats.org/officeDocument/2006/relationships/hyperlink" Target="https://mx.store.ui.com/mx/en/category/all-wifi/products/u6-pro" TargetMode="External"/><Relationship Id="rId23" Type="http://schemas.openxmlformats.org/officeDocument/2006/relationships/hyperlink" Target="https://mx.store.ui.com/mx/en/category/all-wifi/products/u6-pro" TargetMode="External"/><Relationship Id="rId28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36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49" Type="http://schemas.openxmlformats.org/officeDocument/2006/relationships/hyperlink" Target="https://maps.app.goo.gl/yQeME44Gnpqvu1My9" TargetMode="External"/><Relationship Id="rId57" Type="http://schemas.openxmlformats.org/officeDocument/2006/relationships/hyperlink" Target="https://maps.app.goo.gl/B1LQh9wWutydfbBt6" TargetMode="External"/><Relationship Id="rId106" Type="http://schemas.openxmlformats.org/officeDocument/2006/relationships/hyperlink" Target="https://drive.google.com/drive/folders/1khJqPdFnOglD1on3gj7BHcj0dEoqj6nb?usp=drive_link" TargetMode="External"/><Relationship Id="rId114" Type="http://schemas.openxmlformats.org/officeDocument/2006/relationships/hyperlink" Target="https://drive.google.com/drive/folders/1bAKeoWQxmWJr2A3FASza8ekJU38aNi5v?usp=drive_link" TargetMode="External"/><Relationship Id="rId10" Type="http://schemas.openxmlformats.org/officeDocument/2006/relationships/hyperlink" Target="https://drive.google.com/drive/folders/1Z0gINwecx2I57AMXNwcqCxxoHp-89gTu?usp=drive_link" TargetMode="External"/><Relationship Id="rId31" Type="http://schemas.openxmlformats.org/officeDocument/2006/relationships/hyperlink" Target="https://mx.store.ui.com/mx/en/category/all-wifi/products/u6-pro" TargetMode="External"/><Relationship Id="rId44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52" Type="http://schemas.openxmlformats.org/officeDocument/2006/relationships/hyperlink" Target="https://drive.google.com/drive/folders/1INFjMICHHhQ14pc8QY_FJl4snCrf2IFd?usp=drive_link" TargetMode="External"/><Relationship Id="rId60" Type="http://schemas.openxmlformats.org/officeDocument/2006/relationships/hyperlink" Target="https://drive.google.com/drive/folders/1rSs7F8iA0aqnvCgKiUDfQ7Or6OFyaNoF?usp=drive_link" TargetMode="External"/><Relationship Id="rId65" Type="http://schemas.openxmlformats.org/officeDocument/2006/relationships/hyperlink" Target="https://maps.app.goo.gl/SkcwGzCMyzPDXsvG6" TargetMode="External"/><Relationship Id="rId73" Type="http://schemas.openxmlformats.org/officeDocument/2006/relationships/hyperlink" Target="https://maps.app.goo.gl/NJo42MTmcLdBdJRY9" TargetMode="External"/><Relationship Id="rId78" Type="http://schemas.openxmlformats.org/officeDocument/2006/relationships/hyperlink" Target="https://drive.google.com/drive/folders/1ayg9kIV8nGYF530_0lNd6HOfEUhqa7_A?usp=drive_link" TargetMode="External"/><Relationship Id="rId81" Type="http://schemas.openxmlformats.org/officeDocument/2006/relationships/hyperlink" Target="https://maps.app.goo.gl/ouGNAjFrZLPVvkwo6" TargetMode="External"/><Relationship Id="rId86" Type="http://schemas.openxmlformats.org/officeDocument/2006/relationships/hyperlink" Target="https://drive.google.com/drive/folders/1wY-MIjbDY3cdNayBEAMz9T5sTCo6zl7b?usp=drive_link" TargetMode="External"/><Relationship Id="rId94" Type="http://schemas.openxmlformats.org/officeDocument/2006/relationships/hyperlink" Target="https://drive.google.com/drive/folders/10qqYdxcPtg_JDt80_YjgqWcbyHHGKdTe?usp=drive_link" TargetMode="External"/><Relationship Id="rId99" Type="http://schemas.openxmlformats.org/officeDocument/2006/relationships/hyperlink" Target="https://maps.app.goo.gl/KJmwo3oRuFu5j8qo7" TargetMode="External"/><Relationship Id="rId101" Type="http://schemas.openxmlformats.org/officeDocument/2006/relationships/hyperlink" Target="https://maps.app.goo.gl/K3KZcLLmfQPJNysv9" TargetMode="External"/><Relationship Id="rId4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9" Type="http://schemas.openxmlformats.org/officeDocument/2006/relationships/hyperlink" Target="https://maps.app.goo.gl/xYrPEhdnoErWjPn48" TargetMode="External"/><Relationship Id="rId13" Type="http://schemas.openxmlformats.org/officeDocument/2006/relationships/hyperlink" Target="https://maps.app.goo.gl/7G8Q9yJ4RMSJ4iv79" TargetMode="External"/><Relationship Id="rId18" Type="http://schemas.openxmlformats.org/officeDocument/2006/relationships/hyperlink" Target="https://drive.google.com/drive/folders/1kh2QuD-ZB5Sl66bovnYR8E_24TuF0iu0?usp=drive_link" TargetMode="External"/><Relationship Id="rId39" Type="http://schemas.openxmlformats.org/officeDocument/2006/relationships/hyperlink" Target="https://mx.store.ui.com/mx/en/category/all-wifi/products/u6-pro" TargetMode="External"/><Relationship Id="rId109" Type="http://schemas.openxmlformats.org/officeDocument/2006/relationships/hyperlink" Target="https://maps.app.goo.gl/wiXbX8CcBSadCmxE8" TargetMode="External"/><Relationship Id="rId34" Type="http://schemas.openxmlformats.org/officeDocument/2006/relationships/hyperlink" Target="https://drive.google.com/drive/folders/1OWYec26BgF1SGRR1BwiAuxjTVmKgtfpo?usp=drive_link" TargetMode="External"/><Relationship Id="rId50" Type="http://schemas.openxmlformats.org/officeDocument/2006/relationships/hyperlink" Target="https://drive.google.com/drive/folders/18DtUEdbuY4na32bk15Py49iEF3Rq8XQg?usp=drive_link" TargetMode="External"/><Relationship Id="rId55" Type="http://schemas.openxmlformats.org/officeDocument/2006/relationships/hyperlink" Target="https://maps.app.goo.gl/GRxmbZ9EtUPKK5py9" TargetMode="External"/><Relationship Id="rId76" Type="http://schemas.openxmlformats.org/officeDocument/2006/relationships/hyperlink" Target="https://drive.google.com/drive/folders/1qrOKynVt9scrt67Ziv1Uam_5_KWAhepl?usp=drive_link" TargetMode="External"/><Relationship Id="rId97" Type="http://schemas.openxmlformats.org/officeDocument/2006/relationships/hyperlink" Target="https://maps.app.goo.gl/M1aQ3c28whNhZphX6" TargetMode="External"/><Relationship Id="rId104" Type="http://schemas.openxmlformats.org/officeDocument/2006/relationships/hyperlink" Target="https://drive.google.com/drive/folders/1X7VrxLhc8m2_-r_5h7kFOeeGquxJMASj?usp=drive_link" TargetMode="External"/><Relationship Id="rId7" Type="http://schemas.openxmlformats.org/officeDocument/2006/relationships/hyperlink" Target="https://mx.store.ui.com/mx/en/category/all-wifi/products/u6-pro" TargetMode="External"/><Relationship Id="rId71" Type="http://schemas.openxmlformats.org/officeDocument/2006/relationships/hyperlink" Target="https://maps.app.goo.gl/TgPLFH6oR1sPkMhC6" TargetMode="External"/><Relationship Id="rId92" Type="http://schemas.openxmlformats.org/officeDocument/2006/relationships/hyperlink" Target="https://drive.google.com/drive/folders/1CCw33xroJzd4J3aDJcGM7ycGmRxAYvwG?usp=drive_link" TargetMode="External"/><Relationship Id="rId2" Type="http://schemas.openxmlformats.org/officeDocument/2006/relationships/hyperlink" Target="https://drive.google.com/drive/folders/13dYP3l0SA3DHvrGWWCU2fvGrIhDvsl3w?usp=drive_link" TargetMode="External"/><Relationship Id="rId29" Type="http://schemas.openxmlformats.org/officeDocument/2006/relationships/hyperlink" Target="https://maps.app.goo.gl/mx48pbHYgyJ2QwJj7" TargetMode="External"/><Relationship Id="rId24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40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45" Type="http://schemas.openxmlformats.org/officeDocument/2006/relationships/hyperlink" Target="https://maps.app.goo.gl/3uRNWu2QoBJWzAVC8" TargetMode="External"/><Relationship Id="rId66" Type="http://schemas.openxmlformats.org/officeDocument/2006/relationships/hyperlink" Target="https://drive.google.com/drive/folders/1rHcsePNlNLLBegYX8eB_DE2bxNXv0Sx9?usp=drive_link" TargetMode="External"/><Relationship Id="rId87" Type="http://schemas.openxmlformats.org/officeDocument/2006/relationships/hyperlink" Target="https://maps.app.goo.gl/RhLvZDuGVs77DUHr9?g_st=ac" TargetMode="External"/><Relationship Id="rId110" Type="http://schemas.openxmlformats.org/officeDocument/2006/relationships/hyperlink" Target="https://drive.google.com/drive/folders/11CqZoAN8lcQ95JuNaci0GCL5AG_Qe_nr?usp=drive_link" TargetMode="External"/><Relationship Id="rId61" Type="http://schemas.openxmlformats.org/officeDocument/2006/relationships/hyperlink" Target="https://maps.app.goo.gl/JXJSe8X57h9uJRMd9" TargetMode="External"/><Relationship Id="rId82" Type="http://schemas.openxmlformats.org/officeDocument/2006/relationships/hyperlink" Target="https://drive.google.com/drive/folders/1YI8n_Mg-cz5AxsuW8RmVo8T5Gm7mewfw?usp=drive_link" TargetMode="External"/><Relationship Id="rId19" Type="http://schemas.openxmlformats.org/officeDocument/2006/relationships/hyperlink" Target="https://mx.store.ui.com/mx/en/category/all-wifi/products/u6-pro" TargetMode="External"/><Relationship Id="rId14" Type="http://schemas.openxmlformats.org/officeDocument/2006/relationships/hyperlink" Target="https://drive.google.com/drive/folders/1nXHBH-zZ3JQuXSABE8k04FNRkDJaMdEG?usp=drive_link" TargetMode="External"/><Relationship Id="rId30" Type="http://schemas.openxmlformats.org/officeDocument/2006/relationships/hyperlink" Target="https://drive.google.com/drive/folders/1o7UbpDm-XoR5Ml9H7hf5Db5G09z_QS0f?usp=drive_link" TargetMode="External"/><Relationship Id="rId35" Type="http://schemas.openxmlformats.org/officeDocument/2006/relationships/hyperlink" Target="https://mx.store.ui.com/mx/en/category/all-wifi/products/u6-pro" TargetMode="External"/><Relationship Id="rId56" Type="http://schemas.openxmlformats.org/officeDocument/2006/relationships/hyperlink" Target="https://drive.google.com/drive/folders/1THYAyADftPQNVG2cSgh9Fbwlj36hVTrb?usp=drive_link" TargetMode="External"/><Relationship Id="rId77" Type="http://schemas.openxmlformats.org/officeDocument/2006/relationships/hyperlink" Target="https://maps.app.goo.gl/yHFvQ8WPi9WQ8He89" TargetMode="External"/><Relationship Id="rId100" Type="http://schemas.openxmlformats.org/officeDocument/2006/relationships/hyperlink" Target="https://drive.google.com/drive/folders/1mLywYSigcjjynJifI95svTR45YKVhQVD?usp=drive_link" TargetMode="External"/><Relationship Id="rId105" Type="http://schemas.openxmlformats.org/officeDocument/2006/relationships/hyperlink" Target="https://maps.app.goo.gl/QoVZ8vL8zLJjmKVf7" TargetMode="External"/><Relationship Id="rId8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51" Type="http://schemas.openxmlformats.org/officeDocument/2006/relationships/hyperlink" Target="https://maps.app.goo.gl/nd63tvQZZanBvrSs9" TargetMode="External"/><Relationship Id="rId72" Type="http://schemas.openxmlformats.org/officeDocument/2006/relationships/hyperlink" Target="https://drive.google.com/drive/folders/1m2t4yEXtNplTUzogTvByzhtHBqUUYlBI?usp=drive_link" TargetMode="External"/><Relationship Id="rId93" Type="http://schemas.openxmlformats.org/officeDocument/2006/relationships/hyperlink" Target="https://maps.app.goo.gl/tfJKYDzLSwymteqk7" TargetMode="External"/><Relationship Id="rId98" Type="http://schemas.openxmlformats.org/officeDocument/2006/relationships/hyperlink" Target="https://drive.google.com/drive/folders/1luXmHqpbAsXdZ-wQYf20HF9_XukxgTgi?usp=drive_link" TargetMode="External"/><Relationship Id="rId3" Type="http://schemas.openxmlformats.org/officeDocument/2006/relationships/hyperlink" Target="https://mx.store.ui.com/mx/en/category/all-wifi/products/u6-pro" TargetMode="External"/><Relationship Id="rId25" Type="http://schemas.openxmlformats.org/officeDocument/2006/relationships/hyperlink" Target="https://maps.app.goo.gl/uiQMdvWgDHwHJmM19" TargetMode="External"/><Relationship Id="rId46" Type="http://schemas.openxmlformats.org/officeDocument/2006/relationships/hyperlink" Target="https://drive.google.com/drive/folders/1mCo99Q1E24wzP0Nz7YPxo9FwJMT5_A2P?usp=drive_link" TargetMode="External"/><Relationship Id="rId67" Type="http://schemas.openxmlformats.org/officeDocument/2006/relationships/hyperlink" Target="https://maps.app.goo.gl/keJTE2AWDYQer4Hg8" TargetMode="External"/><Relationship Id="rId20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41" Type="http://schemas.openxmlformats.org/officeDocument/2006/relationships/hyperlink" Target="https://maps.app.goo.gl/vG9FVtdjnc55ZjqAA" TargetMode="External"/><Relationship Id="rId62" Type="http://schemas.openxmlformats.org/officeDocument/2006/relationships/hyperlink" Target="https://drive.google.com/drive/folders/1s_RDSYbhee0TxVpJ3ok_0Y11pE914od0?usp=drive_link" TargetMode="External"/><Relationship Id="rId83" Type="http://schemas.openxmlformats.org/officeDocument/2006/relationships/hyperlink" Target="https://maps.app.goo.gl/AEx64UN7xpFJvNit8?g_st=ac" TargetMode="External"/><Relationship Id="rId88" Type="http://schemas.openxmlformats.org/officeDocument/2006/relationships/hyperlink" Target="https://drive.google.com/drive/folders/1BYdUeKlPYNQUK2hmvq0EwCnuK7S_bQ1u?usp=drive_link" TargetMode="External"/><Relationship Id="rId111" Type="http://schemas.openxmlformats.org/officeDocument/2006/relationships/hyperlink" Target="https://maps.app.goo.gl/Q7rDysKh7ir8wjw77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1CqZoAN8lcQ95JuNaci0GCL5AG_Qe_nr?usp=drive_link" TargetMode="External"/><Relationship Id="rId21" Type="http://schemas.openxmlformats.org/officeDocument/2006/relationships/hyperlink" Target="https://maps.app.goo.gl/KJmwo3oRuFu5j8qo7" TargetMode="External"/><Relationship Id="rId42" Type="http://schemas.openxmlformats.org/officeDocument/2006/relationships/hyperlink" Target="https://drive.google.com/drive/folders/1uPWUpgZjx1wLQWezAXF6v-QjxEfwuu9K?usp=drive_link" TargetMode="External"/><Relationship Id="rId47" Type="http://schemas.openxmlformats.org/officeDocument/2006/relationships/hyperlink" Target="https://maps.app.goo.gl/cr6nDUXMLRT5gAxL7" TargetMode="External"/><Relationship Id="rId63" Type="http://schemas.openxmlformats.org/officeDocument/2006/relationships/hyperlink" Target="https://maps.app.goo.gl/7G8Q9yJ4RMSJ4iv79" TargetMode="External"/><Relationship Id="rId68" Type="http://schemas.openxmlformats.org/officeDocument/2006/relationships/hyperlink" Target="https://drive.google.com/drive/folders/13dYP3l0SA3DHvrGWWCU2fvGrIhDvsl3w?usp=drive_link" TargetMode="External"/><Relationship Id="rId84" Type="http://schemas.openxmlformats.org/officeDocument/2006/relationships/hyperlink" Target="https://drive.google.com/drive/folders/1o7UbpDm-XoR5Ml9H7hf5Db5G09z_QS0f?usp=drive_link" TargetMode="External"/><Relationship Id="rId89" Type="http://schemas.openxmlformats.org/officeDocument/2006/relationships/hyperlink" Target="https://maps.app.goo.gl/keJTE2AWDYQer4Hg8" TargetMode="External"/><Relationship Id="rId16" Type="http://schemas.openxmlformats.org/officeDocument/2006/relationships/hyperlink" Target="https://drive.google.com/drive/folders/1qZflvSh5c1zljyU8zzmeYkCrJ-99S-tB?usp=drive_link" TargetMode="External"/><Relationship Id="rId11" Type="http://schemas.openxmlformats.org/officeDocument/2006/relationships/hyperlink" Target="https://maps.app.goo.gl/rKGa4poFCQTQHemX8?g_st=ac" TargetMode="External"/><Relationship Id="rId32" Type="http://schemas.openxmlformats.org/officeDocument/2006/relationships/hyperlink" Target="https://drive.google.com/drive/folders/10qqYdxcPtg_JDt80_YjgqWcbyHHGKdTe?usp=drive_link" TargetMode="External"/><Relationship Id="rId37" Type="http://schemas.openxmlformats.org/officeDocument/2006/relationships/hyperlink" Target="https://maps.app.goo.gl/uiQMdvWgDHwHJmM19" TargetMode="External"/><Relationship Id="rId53" Type="http://schemas.openxmlformats.org/officeDocument/2006/relationships/hyperlink" Target="https://maps.app.goo.gl/C81C49h6ULctF88Y9" TargetMode="External"/><Relationship Id="rId58" Type="http://schemas.openxmlformats.org/officeDocument/2006/relationships/hyperlink" Target="https://drive.google.com/drive/folders/16Ea857S84OLENY5iGxGW5afaS2NcQmAJ?usp=drive_link" TargetMode="External"/><Relationship Id="rId74" Type="http://schemas.openxmlformats.org/officeDocument/2006/relationships/hyperlink" Target="https://drive.google.com/drive/folders/1rHcsePNlNLLBegYX8eB_DE2bxNXv0Sx9?usp=drive_link" TargetMode="External"/><Relationship Id="rId79" Type="http://schemas.openxmlformats.org/officeDocument/2006/relationships/hyperlink" Target="https://maps.app.goo.gl/K3KZcLLmfQPJNysv9" TargetMode="External"/><Relationship Id="rId5" Type="http://schemas.openxmlformats.org/officeDocument/2006/relationships/hyperlink" Target="https://maps.app.goo.gl/SLh4yQSJx9JTfqQp8" TargetMode="External"/><Relationship Id="rId90" Type="http://schemas.openxmlformats.org/officeDocument/2006/relationships/hyperlink" Target="https://drive.google.com/drive/folders/1ASmv651gI8KiPa8v7GUEu9_qSp2RzRli?usp=drive_link" TargetMode="External"/><Relationship Id="rId14" Type="http://schemas.openxmlformats.org/officeDocument/2006/relationships/hyperlink" Target="https://drive.google.com/drive/folders/1THYAyADftPQNVG2cSgh9Fbwlj36hVTrb?usp=drive_link" TargetMode="External"/><Relationship Id="rId22" Type="http://schemas.openxmlformats.org/officeDocument/2006/relationships/hyperlink" Target="https://drive.google.com/drive/folders/1mLywYSigcjjynJifI95svTR45YKVhQVD?usp=drive_link" TargetMode="External"/><Relationship Id="rId27" Type="http://schemas.openxmlformats.org/officeDocument/2006/relationships/hyperlink" Target="https://maps.app.goo.gl/XDoEXoUyeDTXgB946" TargetMode="External"/><Relationship Id="rId30" Type="http://schemas.openxmlformats.org/officeDocument/2006/relationships/hyperlink" Target="https://drive.google.com/drive/folders/1CCw33xroJzd4J3aDJcGM7ycGmRxAYvwG?usp=drive_link" TargetMode="External"/><Relationship Id="rId35" Type="http://schemas.openxmlformats.org/officeDocument/2006/relationships/hyperlink" Target="https://maps.app.goo.gl/nd63tvQZZanBvrSs9" TargetMode="External"/><Relationship Id="rId43" Type="http://schemas.openxmlformats.org/officeDocument/2006/relationships/hyperlink" Target="https://maps.app.goo.gl/ouGNAjFrZLPVvkwo6" TargetMode="External"/><Relationship Id="rId48" Type="http://schemas.openxmlformats.org/officeDocument/2006/relationships/hyperlink" Target="https://drive.google.com/drive/folders/1fSJv8wUAWmy1X6Me7ml_pQ5Kvd5RgsFg?usp=drive_link" TargetMode="External"/><Relationship Id="rId56" Type="http://schemas.openxmlformats.org/officeDocument/2006/relationships/hyperlink" Target="https://drive.google.com/drive/folders/1il5yGgmOlsCNZRdQLOzRdOssImO5vdAj?usp=drive_link" TargetMode="External"/><Relationship Id="rId64" Type="http://schemas.openxmlformats.org/officeDocument/2006/relationships/hyperlink" Target="https://drive.google.com/drive/folders/1nXHBH-zZ3JQuXSABE8k04FNRkDJaMdEG?usp=drive_link" TargetMode="External"/><Relationship Id="rId69" Type="http://schemas.openxmlformats.org/officeDocument/2006/relationships/hyperlink" Target="https://maps.app.goo.gl/B1LQh9wWutydfbBt6" TargetMode="External"/><Relationship Id="rId77" Type="http://schemas.openxmlformats.org/officeDocument/2006/relationships/hyperlink" Target="https://maps.app.goo.gl/jmDunccPPVk9bzMy7" TargetMode="External"/><Relationship Id="rId8" Type="http://schemas.openxmlformats.org/officeDocument/2006/relationships/hyperlink" Target="https://drive.google.com/drive/folders/1s_RDSYbhee0TxVpJ3ok_0Y11pE914od0?usp=drive_link" TargetMode="External"/><Relationship Id="rId51" Type="http://schemas.openxmlformats.org/officeDocument/2006/relationships/hyperlink" Target="https://maps.app.goo.gl/RhLvZDuGVs77DUHr9?g_st=ac" TargetMode="External"/><Relationship Id="rId72" Type="http://schemas.openxmlformats.org/officeDocument/2006/relationships/hyperlink" Target="https://drive.google.com/drive/folders/1rSs7F8iA0aqnvCgKiUDfQ7Or6OFyaNoF?usp=drive_link" TargetMode="External"/><Relationship Id="rId80" Type="http://schemas.openxmlformats.org/officeDocument/2006/relationships/hyperlink" Target="https://drive.google.com/drive/folders/1oAlF9gw6zGEX6Kaib93hk_Ltx0ets1b3?usp=drive_link" TargetMode="External"/><Relationship Id="rId85" Type="http://schemas.openxmlformats.org/officeDocument/2006/relationships/hyperlink" Target="https://maps.app.goo.gl/QoVZ8vL8zLJjmKVf7" TargetMode="External"/><Relationship Id="rId3" Type="http://schemas.openxmlformats.org/officeDocument/2006/relationships/hyperlink" Target="https://maps.app.goo.gl/KHCEH9gCMtiEuP5TA" TargetMode="External"/><Relationship Id="rId12" Type="http://schemas.openxmlformats.org/officeDocument/2006/relationships/hyperlink" Target="https://drive.google.com/drive/folders/1qFThk7KJkyI7bEFQjabITRVnChkvoUus?usp=drive_link" TargetMode="External"/><Relationship Id="rId17" Type="http://schemas.openxmlformats.org/officeDocument/2006/relationships/hyperlink" Target="https://maps.app.goo.gl/ouwjxwER3hB6vBhX8" TargetMode="External"/><Relationship Id="rId25" Type="http://schemas.openxmlformats.org/officeDocument/2006/relationships/hyperlink" Target="https://maps.app.goo.gl/wiXbX8CcBSadCmxE8" TargetMode="External"/><Relationship Id="rId33" Type="http://schemas.openxmlformats.org/officeDocument/2006/relationships/hyperlink" Target="https://maps.app.goo.gl/yQeME44Gnpqvu1My9" TargetMode="External"/><Relationship Id="rId38" Type="http://schemas.openxmlformats.org/officeDocument/2006/relationships/hyperlink" Target="https://drive.google.com/drive/folders/1DttyQj40-ihv486HajS2_P8j6ZiRYi2_?usp=drive_link" TargetMode="External"/><Relationship Id="rId46" Type="http://schemas.openxmlformats.org/officeDocument/2006/relationships/hyperlink" Target="https://drive.google.com/drive/folders/1zzihBaMWqb_Y29N_nP0hX7onNWm3m4By?usp=drive_link" TargetMode="External"/><Relationship Id="rId59" Type="http://schemas.openxmlformats.org/officeDocument/2006/relationships/hyperlink" Target="https://maps.app.goo.gl/3uRNWu2QoBJWzAVC8" TargetMode="External"/><Relationship Id="rId67" Type="http://schemas.openxmlformats.org/officeDocument/2006/relationships/hyperlink" Target="https://maps.app.goo.gl/WvXNKyLGQEEv5zXL8" TargetMode="External"/><Relationship Id="rId20" Type="http://schemas.openxmlformats.org/officeDocument/2006/relationships/hyperlink" Target="https://drive.google.com/drive/folders/1Z0gINwecx2I57AMXNwcqCxxoHp-89gTu?usp=drive_link" TargetMode="External"/><Relationship Id="rId41" Type="http://schemas.openxmlformats.org/officeDocument/2006/relationships/hyperlink" Target="https://maps.app.goo.gl/HPp9pYs2G2H8KDb4A" TargetMode="External"/><Relationship Id="rId54" Type="http://schemas.openxmlformats.org/officeDocument/2006/relationships/hyperlink" Target="https://drive.google.com/drive/folders/1qrOKynVt9scrt67Ziv1Uam_5_KWAhepl?usp=drive_link" TargetMode="External"/><Relationship Id="rId62" Type="http://schemas.openxmlformats.org/officeDocument/2006/relationships/hyperlink" Target="https://drive.google.com/drive/folders/1luXmHqpbAsXdZ-wQYf20HF9_XukxgTgi?usp=drive_link" TargetMode="External"/><Relationship Id="rId70" Type="http://schemas.openxmlformats.org/officeDocument/2006/relationships/hyperlink" Target="https://drive.google.com/drive/folders/1zHtA-84YCi8W6nDPbySl3LzfwFSLaP9Z?usp=drive_link" TargetMode="External"/><Relationship Id="rId75" Type="http://schemas.openxmlformats.org/officeDocument/2006/relationships/hyperlink" Target="https://maps.app.goo.gl/Mirg7gn5LNWG6FEq8" TargetMode="External"/><Relationship Id="rId83" Type="http://schemas.openxmlformats.org/officeDocument/2006/relationships/hyperlink" Target="https://maps.app.goo.gl/mx48pbHYgyJ2QwJj7" TargetMode="External"/><Relationship Id="rId88" Type="http://schemas.openxmlformats.org/officeDocument/2006/relationships/hyperlink" Target="https://drive.google.com/drive/folders/1CpgeKnCzU9sw-jJannhpEmxM1cxc7kIz?usp=drive_link" TargetMode="External"/><Relationship Id="rId1" Type="http://schemas.openxmlformats.org/officeDocument/2006/relationships/hyperlink" Target="https://maps.app.goo.gl/TgPLFH6oR1sPkMhC6" TargetMode="External"/><Relationship Id="rId6" Type="http://schemas.openxmlformats.org/officeDocument/2006/relationships/hyperlink" Target="https://drive.google.com/drive/folders/1G-Ve87WSgqvyeT4bn62ZjriKen3nR-f5?usp=drive_link" TargetMode="External"/><Relationship Id="rId15" Type="http://schemas.openxmlformats.org/officeDocument/2006/relationships/hyperlink" Target="https://maps.app.goo.gl/Q7rDysKh7ir8wjw77" TargetMode="External"/><Relationship Id="rId23" Type="http://schemas.openxmlformats.org/officeDocument/2006/relationships/hyperlink" Target="https://maps.app.goo.gl/iUVCwFZcjB5qkLWs9" TargetMode="External"/><Relationship Id="rId28" Type="http://schemas.openxmlformats.org/officeDocument/2006/relationships/hyperlink" Target="https://drive.google.com/drive/folders/1YYMTkcdyljpah441N7ghRsy8H1N4DK7D?usp=drive_link" TargetMode="External"/><Relationship Id="rId36" Type="http://schemas.openxmlformats.org/officeDocument/2006/relationships/hyperlink" Target="https://drive.google.com/drive/folders/1INFjMICHHhQ14pc8QY_FJl4snCrf2IFd?usp=drive_link" TargetMode="External"/><Relationship Id="rId49" Type="http://schemas.openxmlformats.org/officeDocument/2006/relationships/hyperlink" Target="https://maps.app.goo.gl/reyKcK7vFL69GBk5A" TargetMode="External"/><Relationship Id="rId57" Type="http://schemas.openxmlformats.org/officeDocument/2006/relationships/hyperlink" Target="https://maps.app.goo.gl/vG9FVtdjnc55ZjqAA" TargetMode="External"/><Relationship Id="rId10" Type="http://schemas.openxmlformats.org/officeDocument/2006/relationships/hyperlink" Target="https://drive.google.com/drive/folders/1CApQ4ofs_Nt-e_1ssxONrbiK3DKpcsk_?usp=drive_link" TargetMode="External"/><Relationship Id="rId31" Type="http://schemas.openxmlformats.org/officeDocument/2006/relationships/hyperlink" Target="https://maps.app.goo.gl/tfJKYDzLSwymteqk7" TargetMode="External"/><Relationship Id="rId44" Type="http://schemas.openxmlformats.org/officeDocument/2006/relationships/hyperlink" Target="https://drive.google.com/drive/folders/1YI8n_Mg-cz5AxsuW8RmVo8T5Gm7mewfw?usp=drive_link" TargetMode="External"/><Relationship Id="rId52" Type="http://schemas.openxmlformats.org/officeDocument/2006/relationships/hyperlink" Target="https://drive.google.com/drive/folders/1BYdUeKlPYNQUK2hmvq0EwCnuK7S_bQ1u?usp=drive_link" TargetMode="External"/><Relationship Id="rId60" Type="http://schemas.openxmlformats.org/officeDocument/2006/relationships/hyperlink" Target="https://drive.google.com/drive/folders/1mCo99Q1E24wzP0Nz7YPxo9FwJMT5_A2P?usp=drive_link" TargetMode="External"/><Relationship Id="rId65" Type="http://schemas.openxmlformats.org/officeDocument/2006/relationships/hyperlink" Target="https://maps.app.goo.gl/vqna62ZbeM3CnScN9" TargetMode="External"/><Relationship Id="rId73" Type="http://schemas.openxmlformats.org/officeDocument/2006/relationships/hyperlink" Target="https://maps.app.goo.gl/SkcwGzCMyzPDXsvG6" TargetMode="External"/><Relationship Id="rId78" Type="http://schemas.openxmlformats.org/officeDocument/2006/relationships/hyperlink" Target="https://drive.google.com/drive/folders/1kh2QuD-ZB5Sl66bovnYR8E_24TuF0iu0?usp=drive_link" TargetMode="External"/><Relationship Id="rId81" Type="http://schemas.openxmlformats.org/officeDocument/2006/relationships/hyperlink" Target="https://maps.app.goo.gl/oBCdynk2VvUuRaTC6" TargetMode="External"/><Relationship Id="rId86" Type="http://schemas.openxmlformats.org/officeDocument/2006/relationships/hyperlink" Target="https://drive.google.com/drive/folders/1khJqPdFnOglD1on3gj7BHcj0dEoqj6nb?usp=drive_link" TargetMode="External"/><Relationship Id="rId4" Type="http://schemas.openxmlformats.org/officeDocument/2006/relationships/hyperlink" Target="https://drive.google.com/drive/folders/1OWYec26BgF1SGRR1BwiAuxjTVmKgtfpo?usp=drive_link" TargetMode="External"/><Relationship Id="rId9" Type="http://schemas.openxmlformats.org/officeDocument/2006/relationships/hyperlink" Target="https://maps.app.goo.gl/BGff9gMRu2nUFbFQ9" TargetMode="External"/><Relationship Id="rId13" Type="http://schemas.openxmlformats.org/officeDocument/2006/relationships/hyperlink" Target="https://maps.app.goo.gl/GRxmbZ9EtUPKK5py9" TargetMode="External"/><Relationship Id="rId18" Type="http://schemas.openxmlformats.org/officeDocument/2006/relationships/hyperlink" Target="https://drive.google.com/drive/folders/17hJshh0RgRqix5G23NJnaIGMkOuU8nVs?usp=drive_link" TargetMode="External"/><Relationship Id="rId39" Type="http://schemas.openxmlformats.org/officeDocument/2006/relationships/hyperlink" Target="https://maps.app.goo.gl/yHFvQ8WPi9WQ8He89" TargetMode="External"/><Relationship Id="rId34" Type="http://schemas.openxmlformats.org/officeDocument/2006/relationships/hyperlink" Target="https://drive.google.com/drive/folders/18DtUEdbuY4na32bk15Py49iEF3Rq8XQg?usp=drive_link" TargetMode="External"/><Relationship Id="rId50" Type="http://schemas.openxmlformats.org/officeDocument/2006/relationships/hyperlink" Target="https://drive.google.com/drive/folders/1wY-MIjbDY3cdNayBEAMz9T5sTCo6zl7b?usp=drive_link" TargetMode="External"/><Relationship Id="rId55" Type="http://schemas.openxmlformats.org/officeDocument/2006/relationships/hyperlink" Target="https://maps.app.goo.gl/NJo42MTmcLdBdJRY9" TargetMode="External"/><Relationship Id="rId76" Type="http://schemas.openxmlformats.org/officeDocument/2006/relationships/hyperlink" Target="https://drive.google.com/drive/folders/1bAKeoWQxmWJr2A3FASza8ekJU38aNi5v?usp=drive_link" TargetMode="External"/><Relationship Id="rId7" Type="http://schemas.openxmlformats.org/officeDocument/2006/relationships/hyperlink" Target="https://maps.app.goo.gl/JXJSe8X57h9uJRMd9" TargetMode="External"/><Relationship Id="rId71" Type="http://schemas.openxmlformats.org/officeDocument/2006/relationships/hyperlink" Target="https://maps.app.goo.gl/A6zkUwFXXGJH8JPZA" TargetMode="External"/><Relationship Id="rId2" Type="http://schemas.openxmlformats.org/officeDocument/2006/relationships/hyperlink" Target="https://drive.google.com/drive/folders/1m2t4yEXtNplTUzogTvByzhtHBqUUYlBI?usp=drive_link" TargetMode="External"/><Relationship Id="rId29" Type="http://schemas.openxmlformats.org/officeDocument/2006/relationships/hyperlink" Target="https://maps.app.goo.gl/DSDpK9zUKpdpuy289" TargetMode="External"/><Relationship Id="rId24" Type="http://schemas.openxmlformats.org/officeDocument/2006/relationships/hyperlink" Target="https://drive.google.com/drive/folders/1eHlBFM1reVzgtIXheougOtJzbys6mLL-?usp=drive_link" TargetMode="External"/><Relationship Id="rId40" Type="http://schemas.openxmlformats.org/officeDocument/2006/relationships/hyperlink" Target="https://drive.google.com/drive/folders/1ayg9kIV8nGYF530_0lNd6HOfEUhqa7_A?usp=drive_link" TargetMode="External"/><Relationship Id="rId45" Type="http://schemas.openxmlformats.org/officeDocument/2006/relationships/hyperlink" Target="https://maps.app.goo.gl/AEx64UN7xpFJvNit8?g_st=ac" TargetMode="External"/><Relationship Id="rId66" Type="http://schemas.openxmlformats.org/officeDocument/2006/relationships/hyperlink" Target="https://drive.google.com/drive/folders/1DBOvq0i4Yx30pj4IsrekChfHctszN_mH?usp=drive_link" TargetMode="External"/><Relationship Id="rId87" Type="http://schemas.openxmlformats.org/officeDocument/2006/relationships/hyperlink" Target="https://maps.app.goo.gl/c3GEDg7Rk6xdH8M48" TargetMode="External"/><Relationship Id="rId61" Type="http://schemas.openxmlformats.org/officeDocument/2006/relationships/hyperlink" Target="https://maps.app.goo.gl/M1aQ3c28whNhZphX6" TargetMode="External"/><Relationship Id="rId82" Type="http://schemas.openxmlformats.org/officeDocument/2006/relationships/hyperlink" Target="https://drive.google.com/drive/folders/1X7VrxLhc8m2_-r_5h7kFOeeGquxJMASj?usp=drive_link" TargetMode="External"/><Relationship Id="rId19" Type="http://schemas.openxmlformats.org/officeDocument/2006/relationships/hyperlink" Target="https://maps.app.goo.gl/xYrPEhdnoErWjPn48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m2t4yEXtNplTUzogTvByzhtHBqUUYlBI?usp=drive_link" TargetMode="External"/><Relationship Id="rId21" Type="http://schemas.openxmlformats.org/officeDocument/2006/relationships/hyperlink" Target="https://maps.app.goo.gl/A6zkUwFXXGJH8JPZA" TargetMode="External"/><Relationship Id="rId42" Type="http://schemas.openxmlformats.org/officeDocument/2006/relationships/hyperlink" Target="https://drive.google.com/drive/folders/1ASmv651gI8KiPa8v7GUEu9_qSp2RzRli?usp=drive_link" TargetMode="External"/><Relationship Id="rId47" Type="http://schemas.openxmlformats.org/officeDocument/2006/relationships/hyperlink" Target="https://maps.app.goo.gl/yQeME44Gnpqvu1My9" TargetMode="External"/><Relationship Id="rId63" Type="http://schemas.openxmlformats.org/officeDocument/2006/relationships/hyperlink" Target="https://maps.app.goo.gl/vG9FVtdjnc55ZjqAA" TargetMode="External"/><Relationship Id="rId68" Type="http://schemas.openxmlformats.org/officeDocument/2006/relationships/hyperlink" Target="https://drive.google.com/drive/folders/1OWYec26BgF1SGRR1BwiAuxjTVmKgtfpo?usp=drive_link" TargetMode="External"/><Relationship Id="rId84" Type="http://schemas.openxmlformats.org/officeDocument/2006/relationships/hyperlink" Target="https://drive.google.com/drive/folders/1o7UbpDm-XoR5Ml9H7hf5Db5G09z_QS0f?usp=drive_link" TargetMode="External"/><Relationship Id="rId89" Type="http://schemas.openxmlformats.org/officeDocument/2006/relationships/hyperlink" Target="https://drive.google.com/drive/folders/1eHlBFM1reVzgtIXheougOtJzbys6mLL-?usp=drive_link" TargetMode="External"/><Relationship Id="rId16" Type="http://schemas.openxmlformats.org/officeDocument/2006/relationships/hyperlink" Target="https://drive.google.com/drive/folders/1BYdUeKlPYNQUK2hmvq0EwCnuK7S_bQ1u?usp=drive_link" TargetMode="External"/><Relationship Id="rId11" Type="http://schemas.openxmlformats.org/officeDocument/2006/relationships/hyperlink" Target="https://maps.app.goo.gl/cr6nDUXMLRT5gAxL7" TargetMode="External"/><Relationship Id="rId32" Type="http://schemas.openxmlformats.org/officeDocument/2006/relationships/hyperlink" Target="https://drive.google.com/drive/folders/1qZflvSh5c1zljyU8zzmeYkCrJ-99S-tB?usp=drive_link" TargetMode="External"/><Relationship Id="rId37" Type="http://schemas.openxmlformats.org/officeDocument/2006/relationships/hyperlink" Target="https://maps.app.goo.gl/NJo42MTmcLdBdJRY9" TargetMode="External"/><Relationship Id="rId53" Type="http://schemas.openxmlformats.org/officeDocument/2006/relationships/hyperlink" Target="https://maps.app.goo.gl/7G8Q9yJ4RMSJ4iv79" TargetMode="External"/><Relationship Id="rId58" Type="http://schemas.openxmlformats.org/officeDocument/2006/relationships/hyperlink" Target="https://drive.google.com/drive/folders/1bAKeoWQxmWJr2A3FASza8ekJU38aNi5v?usp=drive_link" TargetMode="External"/><Relationship Id="rId74" Type="http://schemas.openxmlformats.org/officeDocument/2006/relationships/hyperlink" Target="https://drive.google.com/drive/folders/1CApQ4ofs_Nt-e_1ssxONrbiK3DKpcsk_?usp=drive_link" TargetMode="External"/><Relationship Id="rId79" Type="http://schemas.openxmlformats.org/officeDocument/2006/relationships/hyperlink" Target="https://maps.app.goo.gl/tfJKYDzLSwymteqk7" TargetMode="External"/><Relationship Id="rId5" Type="http://schemas.openxmlformats.org/officeDocument/2006/relationships/hyperlink" Target="https://maps.app.goo.gl/HPp9pYs2G2H8KDb4A" TargetMode="External"/><Relationship Id="rId90" Type="http://schemas.openxmlformats.org/officeDocument/2006/relationships/hyperlink" Target="https://maps.app.goo.gl/iUVCwFZcjB5qkLWs9" TargetMode="External"/><Relationship Id="rId14" Type="http://schemas.openxmlformats.org/officeDocument/2006/relationships/hyperlink" Target="https://drive.google.com/drive/folders/1wY-MIjbDY3cdNayBEAMz9T5sTCo6zl7b?usp=drive_link" TargetMode="External"/><Relationship Id="rId22" Type="http://schemas.openxmlformats.org/officeDocument/2006/relationships/hyperlink" Target="https://drive.google.com/drive/folders/1rSs7F8iA0aqnvCgKiUDfQ7Or6OFyaNoF?usp=drive_link" TargetMode="External"/><Relationship Id="rId27" Type="http://schemas.openxmlformats.org/officeDocument/2006/relationships/hyperlink" Target="https://maps.app.goo.gl/rKGa4poFCQTQHemX8?g_st=ac" TargetMode="External"/><Relationship Id="rId30" Type="http://schemas.openxmlformats.org/officeDocument/2006/relationships/hyperlink" Target="https://drive.google.com/drive/folders/1THYAyADftPQNVG2cSgh9Fbwlj36hVTrb?usp=drive_link" TargetMode="External"/><Relationship Id="rId35" Type="http://schemas.openxmlformats.org/officeDocument/2006/relationships/hyperlink" Target="https://maps.app.goo.gl/C81C49h6ULctF88Y9" TargetMode="External"/><Relationship Id="rId43" Type="http://schemas.openxmlformats.org/officeDocument/2006/relationships/hyperlink" Target="https://maps.app.goo.gl/ouwjxwER3hB6vBhX8" TargetMode="External"/><Relationship Id="rId48" Type="http://schemas.openxmlformats.org/officeDocument/2006/relationships/hyperlink" Target="https://drive.google.com/drive/folders/18DtUEdbuY4na32bk15Py49iEF3Rq8XQg?usp=drive_link" TargetMode="External"/><Relationship Id="rId56" Type="http://schemas.openxmlformats.org/officeDocument/2006/relationships/hyperlink" Target="https://drive.google.com/drive/folders/1DBOvq0i4Yx30pj4IsrekChfHctszN_mH?usp=drive_link" TargetMode="External"/><Relationship Id="rId64" Type="http://schemas.openxmlformats.org/officeDocument/2006/relationships/hyperlink" Target="https://drive.google.com/drive/folders/16Ea857S84OLENY5iGxGW5afaS2NcQmAJ?usp=drive_link" TargetMode="External"/><Relationship Id="rId69" Type="http://schemas.openxmlformats.org/officeDocument/2006/relationships/hyperlink" Target="https://maps.app.goo.gl/SLh4yQSJx9JTfqQp8" TargetMode="External"/><Relationship Id="rId77" Type="http://schemas.openxmlformats.org/officeDocument/2006/relationships/hyperlink" Target="https://maps.app.goo.gl/DSDpK9zUKpdpuy289" TargetMode="External"/><Relationship Id="rId8" Type="http://schemas.openxmlformats.org/officeDocument/2006/relationships/hyperlink" Target="https://drive.google.com/drive/folders/1YI8n_Mg-cz5AxsuW8RmVo8T5Gm7mewfw?usp=drive_link" TargetMode="External"/><Relationship Id="rId51" Type="http://schemas.openxmlformats.org/officeDocument/2006/relationships/hyperlink" Target="https://maps.app.goo.gl/M1aQ3c28whNhZphX6" TargetMode="External"/><Relationship Id="rId72" Type="http://schemas.openxmlformats.org/officeDocument/2006/relationships/hyperlink" Target="https://drive.google.com/drive/folders/1s_RDSYbhee0TxVpJ3ok_0Y11pE914od0?usp=drive_link" TargetMode="External"/><Relationship Id="rId80" Type="http://schemas.openxmlformats.org/officeDocument/2006/relationships/hyperlink" Target="https://drive.google.com/drive/folders/10qqYdxcPtg_JDt80_YjgqWcbyHHGKdTe?usp=drive_link" TargetMode="External"/><Relationship Id="rId85" Type="http://schemas.openxmlformats.org/officeDocument/2006/relationships/hyperlink" Target="https://maps.app.goo.gl/QoVZ8vL8zLJjmKVf7" TargetMode="External"/><Relationship Id="rId3" Type="http://schemas.openxmlformats.org/officeDocument/2006/relationships/hyperlink" Target="https://maps.app.goo.gl/yHFvQ8WPi9WQ8He89" TargetMode="External"/><Relationship Id="rId12" Type="http://schemas.openxmlformats.org/officeDocument/2006/relationships/hyperlink" Target="https://drive.google.com/drive/folders/1fSJv8wUAWmy1X6Me7ml_pQ5Kvd5RgsFg?usp=drive_link" TargetMode="External"/><Relationship Id="rId17" Type="http://schemas.openxmlformats.org/officeDocument/2006/relationships/hyperlink" Target="https://maps.app.goo.gl/WvXNKyLGQEEv5zXL8" TargetMode="External"/><Relationship Id="rId25" Type="http://schemas.openxmlformats.org/officeDocument/2006/relationships/hyperlink" Target="https://maps.app.goo.gl/TgPLFH6oR1sPkMhC6" TargetMode="External"/><Relationship Id="rId33" Type="http://schemas.openxmlformats.org/officeDocument/2006/relationships/hyperlink" Target="https://maps.app.goo.gl/wiXbX8CcBSadCmxE8" TargetMode="External"/><Relationship Id="rId38" Type="http://schemas.openxmlformats.org/officeDocument/2006/relationships/hyperlink" Target="https://drive.google.com/drive/folders/1il5yGgmOlsCNZRdQLOzRdOssImO5vdAj?usp=drive_link" TargetMode="External"/><Relationship Id="rId46" Type="http://schemas.openxmlformats.org/officeDocument/2006/relationships/hyperlink" Target="https://drive.google.com/drive/folders/1Z0gINwecx2I57AMXNwcqCxxoHp-89gTu?usp=drive_link" TargetMode="External"/><Relationship Id="rId59" Type="http://schemas.openxmlformats.org/officeDocument/2006/relationships/hyperlink" Target="https://maps.app.goo.gl/jmDunccPPVk9bzMy7" TargetMode="External"/><Relationship Id="rId67" Type="http://schemas.openxmlformats.org/officeDocument/2006/relationships/hyperlink" Target="https://maps.app.goo.gl/KHCEH9gCMtiEuP5TA" TargetMode="External"/><Relationship Id="rId20" Type="http://schemas.openxmlformats.org/officeDocument/2006/relationships/hyperlink" Target="https://drive.google.com/drive/folders/1zHtA-84YCi8W6nDPbySl3LzfwFSLaP9Z?usp=drive_link" TargetMode="External"/><Relationship Id="rId41" Type="http://schemas.openxmlformats.org/officeDocument/2006/relationships/hyperlink" Target="https://maps.app.goo.gl/keJTE2AWDYQer4Hg8" TargetMode="External"/><Relationship Id="rId54" Type="http://schemas.openxmlformats.org/officeDocument/2006/relationships/hyperlink" Target="https://drive.google.com/drive/folders/1nXHBH-zZ3JQuXSABE8k04FNRkDJaMdEG?usp=drive_link" TargetMode="External"/><Relationship Id="rId62" Type="http://schemas.openxmlformats.org/officeDocument/2006/relationships/hyperlink" Target="https://drive.google.com/drive/folders/1oAlF9gw6zGEX6Kaib93hk_Ltx0ets1b3?usp=drive_link" TargetMode="External"/><Relationship Id="rId70" Type="http://schemas.openxmlformats.org/officeDocument/2006/relationships/hyperlink" Target="https://drive.google.com/drive/folders/1G-Ve87WSgqvyeT4bn62ZjriKen3nR-f5?usp=drive_link" TargetMode="External"/><Relationship Id="rId75" Type="http://schemas.openxmlformats.org/officeDocument/2006/relationships/hyperlink" Target="https://maps.app.goo.gl/XDoEXoUyeDTXgB946" TargetMode="External"/><Relationship Id="rId83" Type="http://schemas.openxmlformats.org/officeDocument/2006/relationships/hyperlink" Target="https://maps.app.goo.gl/mx48pbHYgyJ2QwJj7" TargetMode="External"/><Relationship Id="rId88" Type="http://schemas.openxmlformats.org/officeDocument/2006/relationships/hyperlink" Target="https://drive.google.com/drive/folders/1CpgeKnCzU9sw-jJannhpEmxM1cxc7kIz?usp=drive_link" TargetMode="External"/><Relationship Id="rId1" Type="http://schemas.openxmlformats.org/officeDocument/2006/relationships/hyperlink" Target="https://maps.app.goo.gl/uiQMdvWgDHwHJmM19" TargetMode="External"/><Relationship Id="rId6" Type="http://schemas.openxmlformats.org/officeDocument/2006/relationships/hyperlink" Target="https://drive.google.com/drive/folders/1uPWUpgZjx1wLQWezAXF6v-QjxEfwuu9K?usp=drive_link" TargetMode="External"/><Relationship Id="rId15" Type="http://schemas.openxmlformats.org/officeDocument/2006/relationships/hyperlink" Target="https://maps.app.goo.gl/RhLvZDuGVs77DUHr9?g_st=ac" TargetMode="External"/><Relationship Id="rId23" Type="http://schemas.openxmlformats.org/officeDocument/2006/relationships/hyperlink" Target="https://maps.app.goo.gl/oBCdynk2VvUuRaTC6" TargetMode="External"/><Relationship Id="rId28" Type="http://schemas.openxmlformats.org/officeDocument/2006/relationships/hyperlink" Target="https://drive.google.com/drive/folders/1qFThk7KJkyI7bEFQjabITRVnChkvoUus?usp=drive_link" TargetMode="External"/><Relationship Id="rId36" Type="http://schemas.openxmlformats.org/officeDocument/2006/relationships/hyperlink" Target="https://drive.google.com/drive/folders/1qrOKynVt9scrt67Ziv1Uam_5_KWAhepl?usp=drive_link" TargetMode="External"/><Relationship Id="rId49" Type="http://schemas.openxmlformats.org/officeDocument/2006/relationships/hyperlink" Target="https://maps.app.goo.gl/nd63tvQZZanBvrSs9" TargetMode="External"/><Relationship Id="rId57" Type="http://schemas.openxmlformats.org/officeDocument/2006/relationships/hyperlink" Target="https://maps.app.goo.gl/Mirg7gn5LNWG6FEq8" TargetMode="External"/><Relationship Id="rId10" Type="http://schemas.openxmlformats.org/officeDocument/2006/relationships/hyperlink" Target="https://drive.google.com/drive/folders/1zzihBaMWqb_Y29N_nP0hX7onNWm3m4By?usp=drive_link" TargetMode="External"/><Relationship Id="rId31" Type="http://schemas.openxmlformats.org/officeDocument/2006/relationships/hyperlink" Target="https://maps.app.goo.gl/Q7rDysKh7ir8wjw77" TargetMode="External"/><Relationship Id="rId44" Type="http://schemas.openxmlformats.org/officeDocument/2006/relationships/hyperlink" Target="https://drive.google.com/drive/folders/17hJshh0RgRqix5G23NJnaIGMkOuU8nVs?usp=drive_link" TargetMode="External"/><Relationship Id="rId52" Type="http://schemas.openxmlformats.org/officeDocument/2006/relationships/hyperlink" Target="https://drive.google.com/drive/folders/1luXmHqpbAsXdZ-wQYf20HF9_XukxgTgi?usp=drive_link" TargetMode="External"/><Relationship Id="rId60" Type="http://schemas.openxmlformats.org/officeDocument/2006/relationships/hyperlink" Target="https://drive.google.com/drive/folders/1kh2QuD-ZB5Sl66bovnYR8E_24TuF0iu0?usp=drive_link" TargetMode="External"/><Relationship Id="rId65" Type="http://schemas.openxmlformats.org/officeDocument/2006/relationships/hyperlink" Target="https://maps.app.goo.gl/3uRNWu2QoBJWzAVC8" TargetMode="External"/><Relationship Id="rId73" Type="http://schemas.openxmlformats.org/officeDocument/2006/relationships/hyperlink" Target="https://maps.app.goo.gl/BGff9gMRu2nUFbFQ9" TargetMode="External"/><Relationship Id="rId78" Type="http://schemas.openxmlformats.org/officeDocument/2006/relationships/hyperlink" Target="https://drive.google.com/drive/folders/1CCw33xroJzd4J3aDJcGM7ycGmRxAYvwG?usp=drive_link" TargetMode="External"/><Relationship Id="rId81" Type="http://schemas.openxmlformats.org/officeDocument/2006/relationships/hyperlink" Target="https://maps.app.goo.gl/KJmwo3oRuFu5j8qo7" TargetMode="External"/><Relationship Id="rId86" Type="http://schemas.openxmlformats.org/officeDocument/2006/relationships/hyperlink" Target="https://drive.google.com/drive/folders/1khJqPdFnOglD1on3gj7BHcj0dEoqj6nb?usp=drive_link" TargetMode="External"/><Relationship Id="rId4" Type="http://schemas.openxmlformats.org/officeDocument/2006/relationships/hyperlink" Target="https://drive.google.com/drive/folders/1ayg9kIV8nGYF530_0lNd6HOfEUhqa7_A?usp=drive_link" TargetMode="External"/><Relationship Id="rId9" Type="http://schemas.openxmlformats.org/officeDocument/2006/relationships/hyperlink" Target="https://maps.app.goo.gl/AEx64UN7xpFJvNit8?g_st=ac" TargetMode="External"/><Relationship Id="rId13" Type="http://schemas.openxmlformats.org/officeDocument/2006/relationships/hyperlink" Target="https://maps.app.goo.gl/reyKcK7vFL69GBk5A" TargetMode="External"/><Relationship Id="rId18" Type="http://schemas.openxmlformats.org/officeDocument/2006/relationships/hyperlink" Target="https://drive.google.com/drive/folders/13dYP3l0SA3DHvrGWWCU2fvGrIhDvsl3w?usp=drive_link" TargetMode="External"/><Relationship Id="rId39" Type="http://schemas.openxmlformats.org/officeDocument/2006/relationships/hyperlink" Target="https://maps.app.goo.gl/SkcwGzCMyzPDXsvG6" TargetMode="External"/><Relationship Id="rId34" Type="http://schemas.openxmlformats.org/officeDocument/2006/relationships/hyperlink" Target="https://drive.google.com/drive/folders/11CqZoAN8lcQ95JuNaci0GCL5AG_Qe_nr?usp=drive_link" TargetMode="External"/><Relationship Id="rId50" Type="http://schemas.openxmlformats.org/officeDocument/2006/relationships/hyperlink" Target="https://drive.google.com/drive/folders/1INFjMICHHhQ14pc8QY_FJl4snCrf2IFd?usp=drive_link" TargetMode="External"/><Relationship Id="rId55" Type="http://schemas.openxmlformats.org/officeDocument/2006/relationships/hyperlink" Target="https://maps.app.goo.gl/vqna62ZbeM3CnScN9" TargetMode="External"/><Relationship Id="rId76" Type="http://schemas.openxmlformats.org/officeDocument/2006/relationships/hyperlink" Target="https://drive.google.com/drive/folders/1YYMTkcdyljpah441N7ghRsy8H1N4DK7D?usp=drive_link" TargetMode="External"/><Relationship Id="rId7" Type="http://schemas.openxmlformats.org/officeDocument/2006/relationships/hyperlink" Target="https://maps.app.goo.gl/ouGNAjFrZLPVvkwo6" TargetMode="External"/><Relationship Id="rId71" Type="http://schemas.openxmlformats.org/officeDocument/2006/relationships/hyperlink" Target="https://maps.app.goo.gl/JXJSe8X57h9uJRMd9" TargetMode="External"/><Relationship Id="rId2" Type="http://schemas.openxmlformats.org/officeDocument/2006/relationships/hyperlink" Target="https://drive.google.com/drive/folders/1DttyQj40-ihv486HajS2_P8j6ZiRYi2_?usp=drive_link" TargetMode="External"/><Relationship Id="rId29" Type="http://schemas.openxmlformats.org/officeDocument/2006/relationships/hyperlink" Target="https://maps.app.goo.gl/GRxmbZ9EtUPKK5py9" TargetMode="External"/><Relationship Id="rId24" Type="http://schemas.openxmlformats.org/officeDocument/2006/relationships/hyperlink" Target="https://drive.google.com/drive/folders/1X7VrxLhc8m2_-r_5h7kFOeeGquxJMASj?usp=drive_link" TargetMode="External"/><Relationship Id="rId40" Type="http://schemas.openxmlformats.org/officeDocument/2006/relationships/hyperlink" Target="https://drive.google.com/drive/folders/1rHcsePNlNLLBegYX8eB_DE2bxNXv0Sx9?usp=drive_link" TargetMode="External"/><Relationship Id="rId45" Type="http://schemas.openxmlformats.org/officeDocument/2006/relationships/hyperlink" Target="https://maps.app.goo.gl/xYrPEhdnoErWjPn48" TargetMode="External"/><Relationship Id="rId66" Type="http://schemas.openxmlformats.org/officeDocument/2006/relationships/hyperlink" Target="https://drive.google.com/drive/folders/1mCo99Q1E24wzP0Nz7YPxo9FwJMT5_A2P?usp=drive_link" TargetMode="External"/><Relationship Id="rId87" Type="http://schemas.openxmlformats.org/officeDocument/2006/relationships/hyperlink" Target="https://maps.app.goo.gl/c3GEDg7Rk6xdH8M48" TargetMode="External"/><Relationship Id="rId61" Type="http://schemas.openxmlformats.org/officeDocument/2006/relationships/hyperlink" Target="https://maps.app.goo.gl/K3KZcLLmfQPJNysv9" TargetMode="External"/><Relationship Id="rId82" Type="http://schemas.openxmlformats.org/officeDocument/2006/relationships/hyperlink" Target="https://drive.google.com/drive/folders/1mLywYSigcjjynJifI95svTR45YKVhQVD?usp=drive_link" TargetMode="External"/><Relationship Id="rId19" Type="http://schemas.openxmlformats.org/officeDocument/2006/relationships/hyperlink" Target="https://maps.app.goo.gl/B1LQh9wWutydfbBt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3" Type="http://schemas.openxmlformats.org/officeDocument/2006/relationships/hyperlink" Target="https://mx.store.ui.com/mx/en/category/all-wifi/products/u6-pro" TargetMode="External"/><Relationship Id="rId18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3" Type="http://schemas.openxmlformats.org/officeDocument/2006/relationships/hyperlink" Target="https://mx.store.ui.com/mx/en/category/all-wifi/products/u6-pro" TargetMode="External"/><Relationship Id="rId21" Type="http://schemas.openxmlformats.org/officeDocument/2006/relationships/hyperlink" Target="https://mx.store.ui.com/mx/en/category/all-wifi/products/u6-pro" TargetMode="External"/><Relationship Id="rId7" Type="http://schemas.openxmlformats.org/officeDocument/2006/relationships/hyperlink" Target="https://mx.store.ui.com/mx/en/category/all-wifi/products/u6-pro" TargetMode="External"/><Relationship Id="rId12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7" Type="http://schemas.openxmlformats.org/officeDocument/2006/relationships/hyperlink" Target="https://mx.store.ui.com/mx/en/category/all-wifi/products/u6-pro" TargetMode="External"/><Relationship Id="rId2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6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20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" Type="http://schemas.openxmlformats.org/officeDocument/2006/relationships/hyperlink" Target="https://mx.store.ui.com/mx/en/category/all-wifi/products/u6-pro" TargetMode="External"/><Relationship Id="rId6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1" Type="http://schemas.openxmlformats.org/officeDocument/2006/relationships/hyperlink" Target="https://mx.store.ui.com/mx/en/category/all-wifi/products/u6-pro" TargetMode="External"/><Relationship Id="rId24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5" Type="http://schemas.openxmlformats.org/officeDocument/2006/relationships/hyperlink" Target="https://mx.store.ui.com/mx/en/category/all-wifi/products/u6-pro" TargetMode="External"/><Relationship Id="rId15" Type="http://schemas.openxmlformats.org/officeDocument/2006/relationships/hyperlink" Target="https://mx.store.ui.com/mx/en/category/all-wifi/products/u6-pro" TargetMode="External"/><Relationship Id="rId23" Type="http://schemas.openxmlformats.org/officeDocument/2006/relationships/hyperlink" Target="https://mx.store.ui.com/mx/en/category/all-wifi/products/u6-pro" TargetMode="External"/><Relationship Id="rId10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19" Type="http://schemas.openxmlformats.org/officeDocument/2006/relationships/hyperlink" Target="https://mx.store.ui.com/mx/en/category/all-wifi/products/u6-pro" TargetMode="External"/><Relationship Id="rId4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9" Type="http://schemas.openxmlformats.org/officeDocument/2006/relationships/hyperlink" Target="https://mx.store.ui.com/mx/en/category/all-wifi/products/u6-pro" TargetMode="External"/><Relationship Id="rId14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Relationship Id="rId22" Type="http://schemas.openxmlformats.org/officeDocument/2006/relationships/hyperlink" Target="https://www.officedepot.com.mx/officedepot/en/Categor%C3%ADa/Todas/computo/routers-repetidores-y-switch/Adaptador-WiFi-USB-Inal%C3%A1mbrico-TP-Link-Archer-T3U-Plus-AC1300-Doble-banda-Negro/p/100040131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mx.store.ui.com/mx/es/products/u7-pro" TargetMode="External"/><Relationship Id="rId18" Type="http://schemas.openxmlformats.org/officeDocument/2006/relationships/hyperlink" Target="https://mx.store.ui.com/mx/es/products/u7-pro" TargetMode="External"/><Relationship Id="rId26" Type="http://schemas.openxmlformats.org/officeDocument/2006/relationships/hyperlink" Target="https://mx.store.ui.com/mx/es/products/u7-pro" TargetMode="External"/><Relationship Id="rId39" Type="http://schemas.openxmlformats.org/officeDocument/2006/relationships/hyperlink" Target="https://mx.store.ui.com/mx/es/products/u7-pro" TargetMode="External"/><Relationship Id="rId21" Type="http://schemas.openxmlformats.org/officeDocument/2006/relationships/hyperlink" Target="https://mx.store.ui.com/mx/es/products/u7-pro" TargetMode="External"/><Relationship Id="rId34" Type="http://schemas.openxmlformats.org/officeDocument/2006/relationships/hyperlink" Target="https://mx.store.ui.com/mx/es/products/u7-pro" TargetMode="External"/><Relationship Id="rId42" Type="http://schemas.openxmlformats.org/officeDocument/2006/relationships/hyperlink" Target="https://mx.store.ui.com/mx/es/products/u7-pro" TargetMode="External"/><Relationship Id="rId7" Type="http://schemas.openxmlformats.org/officeDocument/2006/relationships/hyperlink" Target="https://mx.store.ui.com/mx/es/products/u7-pro" TargetMode="External"/><Relationship Id="rId2" Type="http://schemas.openxmlformats.org/officeDocument/2006/relationships/hyperlink" Target="https://mx.store.ui.com/mx/es/products/u7-pro" TargetMode="External"/><Relationship Id="rId16" Type="http://schemas.openxmlformats.org/officeDocument/2006/relationships/hyperlink" Target="https://mx.store.ui.com/mx/es/products/u7-pro" TargetMode="External"/><Relationship Id="rId29" Type="http://schemas.openxmlformats.org/officeDocument/2006/relationships/hyperlink" Target="https://mx.store.ui.com/mx/es/products/u7-pro" TargetMode="External"/><Relationship Id="rId1" Type="http://schemas.openxmlformats.org/officeDocument/2006/relationships/hyperlink" Target="https://mx.store.ui.com/mx/es/products/u7-pro" TargetMode="External"/><Relationship Id="rId6" Type="http://schemas.openxmlformats.org/officeDocument/2006/relationships/hyperlink" Target="https://mx.store.ui.com/mx/es/products/u7-pro" TargetMode="External"/><Relationship Id="rId11" Type="http://schemas.openxmlformats.org/officeDocument/2006/relationships/hyperlink" Target="https://mx.store.ui.com/mx/es/products/u7-pro" TargetMode="External"/><Relationship Id="rId24" Type="http://schemas.openxmlformats.org/officeDocument/2006/relationships/hyperlink" Target="https://mx.store.ui.com/mx/es/products/u7-pro" TargetMode="External"/><Relationship Id="rId32" Type="http://schemas.openxmlformats.org/officeDocument/2006/relationships/hyperlink" Target="https://mx.store.ui.com/mx/es/products/u7-pro" TargetMode="External"/><Relationship Id="rId37" Type="http://schemas.openxmlformats.org/officeDocument/2006/relationships/hyperlink" Target="https://mx.store.ui.com/mx/es/products/u7-pro" TargetMode="External"/><Relationship Id="rId40" Type="http://schemas.openxmlformats.org/officeDocument/2006/relationships/hyperlink" Target="https://mx.store.ui.com/mx/es/products/u7-pro" TargetMode="External"/><Relationship Id="rId45" Type="http://schemas.openxmlformats.org/officeDocument/2006/relationships/hyperlink" Target="https://mx.store.ui.com/mx/es/products/u7-pro" TargetMode="External"/><Relationship Id="rId5" Type="http://schemas.openxmlformats.org/officeDocument/2006/relationships/hyperlink" Target="https://mx.store.ui.com/mx/es/products/u7-pro" TargetMode="External"/><Relationship Id="rId15" Type="http://schemas.openxmlformats.org/officeDocument/2006/relationships/hyperlink" Target="https://mx.store.ui.com/mx/es/products/u7-pro" TargetMode="External"/><Relationship Id="rId23" Type="http://schemas.openxmlformats.org/officeDocument/2006/relationships/hyperlink" Target="https://mx.store.ui.com/mx/es/products/u7-pro" TargetMode="External"/><Relationship Id="rId28" Type="http://schemas.openxmlformats.org/officeDocument/2006/relationships/hyperlink" Target="https://mx.store.ui.com/mx/es/products/u7-pro" TargetMode="External"/><Relationship Id="rId36" Type="http://schemas.openxmlformats.org/officeDocument/2006/relationships/hyperlink" Target="https://mx.store.ui.com/mx/es/products/u7-pro" TargetMode="External"/><Relationship Id="rId10" Type="http://schemas.openxmlformats.org/officeDocument/2006/relationships/hyperlink" Target="https://mx.store.ui.com/mx/es/products/u7-pro" TargetMode="External"/><Relationship Id="rId19" Type="http://schemas.openxmlformats.org/officeDocument/2006/relationships/hyperlink" Target="https://mx.store.ui.com/mx/es/products/u7-pro" TargetMode="External"/><Relationship Id="rId31" Type="http://schemas.openxmlformats.org/officeDocument/2006/relationships/hyperlink" Target="https://mx.store.ui.com/mx/es/products/u7-pro" TargetMode="External"/><Relationship Id="rId44" Type="http://schemas.openxmlformats.org/officeDocument/2006/relationships/hyperlink" Target="https://mx.store.ui.com/mx/es/products/u7-pro" TargetMode="External"/><Relationship Id="rId4" Type="http://schemas.openxmlformats.org/officeDocument/2006/relationships/hyperlink" Target="https://mx.store.ui.com/mx/es/products/u7-pro" TargetMode="External"/><Relationship Id="rId9" Type="http://schemas.openxmlformats.org/officeDocument/2006/relationships/hyperlink" Target="https://mx.store.ui.com/mx/es/products/u7-pro" TargetMode="External"/><Relationship Id="rId14" Type="http://schemas.openxmlformats.org/officeDocument/2006/relationships/hyperlink" Target="https://mx.store.ui.com/mx/es/products/u7-pro" TargetMode="External"/><Relationship Id="rId22" Type="http://schemas.openxmlformats.org/officeDocument/2006/relationships/hyperlink" Target="https://mx.store.ui.com/mx/es/products/u7-pro" TargetMode="External"/><Relationship Id="rId27" Type="http://schemas.openxmlformats.org/officeDocument/2006/relationships/hyperlink" Target="https://mx.store.ui.com/mx/es/products/u7-pro" TargetMode="External"/><Relationship Id="rId30" Type="http://schemas.openxmlformats.org/officeDocument/2006/relationships/hyperlink" Target="https://mx.store.ui.com/mx/es/products/u7-pro" TargetMode="External"/><Relationship Id="rId35" Type="http://schemas.openxmlformats.org/officeDocument/2006/relationships/hyperlink" Target="https://mx.store.ui.com/mx/es/products/u7-pro" TargetMode="External"/><Relationship Id="rId43" Type="http://schemas.openxmlformats.org/officeDocument/2006/relationships/hyperlink" Target="https://mx.store.ui.com/mx/es/products/u7-pro" TargetMode="External"/><Relationship Id="rId8" Type="http://schemas.openxmlformats.org/officeDocument/2006/relationships/hyperlink" Target="https://mx.store.ui.com/mx/es/products/u7-pro" TargetMode="External"/><Relationship Id="rId3" Type="http://schemas.openxmlformats.org/officeDocument/2006/relationships/hyperlink" Target="https://mx.store.ui.com/mx/es/products/u7-pro" TargetMode="External"/><Relationship Id="rId12" Type="http://schemas.openxmlformats.org/officeDocument/2006/relationships/hyperlink" Target="https://mx.store.ui.com/mx/es/products/u7-pro" TargetMode="External"/><Relationship Id="rId17" Type="http://schemas.openxmlformats.org/officeDocument/2006/relationships/hyperlink" Target="https://mx.store.ui.com/mx/es/products/u7-pro" TargetMode="External"/><Relationship Id="rId25" Type="http://schemas.openxmlformats.org/officeDocument/2006/relationships/hyperlink" Target="https://mx.store.ui.com/mx/es/products/u7-pro" TargetMode="External"/><Relationship Id="rId33" Type="http://schemas.openxmlformats.org/officeDocument/2006/relationships/hyperlink" Target="https://mx.store.ui.com/mx/es/products/u7-pro" TargetMode="External"/><Relationship Id="rId38" Type="http://schemas.openxmlformats.org/officeDocument/2006/relationships/hyperlink" Target="https://mx.store.ui.com/mx/es/products/u7-pro" TargetMode="External"/><Relationship Id="rId20" Type="http://schemas.openxmlformats.org/officeDocument/2006/relationships/hyperlink" Target="https://mx.store.ui.com/mx/es/products/u7-pro" TargetMode="External"/><Relationship Id="rId41" Type="http://schemas.openxmlformats.org/officeDocument/2006/relationships/hyperlink" Target="https://mx.store.ui.com/mx/es/products/u7-pro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KHCEH9gCMtiEuP5TA" TargetMode="External"/><Relationship Id="rId2" Type="http://schemas.openxmlformats.org/officeDocument/2006/relationships/hyperlink" Target="https://maps.app.goo.gl/SLh4yQSJx9JTfqQp8" TargetMode="External"/><Relationship Id="rId1" Type="http://schemas.openxmlformats.org/officeDocument/2006/relationships/hyperlink" Target="https://maps.app.goo.gl/BGff9gMRu2nUFbFQ9" TargetMode="External"/><Relationship Id="rId4" Type="http://schemas.openxmlformats.org/officeDocument/2006/relationships/hyperlink" Target="https://maps.app.goo.gl/JXJSe8X57h9uJRMd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nXHBH-zZ3JQuXSABE8k04FNRkDJaMdEG?usp=drive_link" TargetMode="External"/><Relationship Id="rId13" Type="http://schemas.openxmlformats.org/officeDocument/2006/relationships/hyperlink" Target="https://maps.app.goo.gl/SLh4yQSJx9JTfqQp8" TargetMode="External"/><Relationship Id="rId18" Type="http://schemas.openxmlformats.org/officeDocument/2006/relationships/hyperlink" Target="https://drive.google.com/drive/folders/1X7VrxLhc8m2_-r_5h7kFOeeGquxJMASj?usp=drive_link" TargetMode="External"/><Relationship Id="rId26" Type="http://schemas.openxmlformats.org/officeDocument/2006/relationships/hyperlink" Target="https://drive.google.com/drive/folders/16Ea857S84OLENY5iGxGW5afaS2NcQmAJ?usp=drive_link" TargetMode="External"/><Relationship Id="rId3" Type="http://schemas.openxmlformats.org/officeDocument/2006/relationships/hyperlink" Target="https://maps.app.goo.gl/nd63tvQZZanBvrSs9" TargetMode="External"/><Relationship Id="rId21" Type="http://schemas.openxmlformats.org/officeDocument/2006/relationships/hyperlink" Target="https://maps.app.goo.gl/uiQMdvWgDHwHJmM19" TargetMode="External"/><Relationship Id="rId7" Type="http://schemas.openxmlformats.org/officeDocument/2006/relationships/hyperlink" Target="https://maps.app.goo.gl/7G8Q9yJ4RMSJ4iv79" TargetMode="External"/><Relationship Id="rId12" Type="http://schemas.openxmlformats.org/officeDocument/2006/relationships/hyperlink" Target="https://drive.google.com/drive/folders/1OWYec26BgF1SGRR1BwiAuxjTVmKgtfpo?usp=drive_link" TargetMode="External"/><Relationship Id="rId17" Type="http://schemas.openxmlformats.org/officeDocument/2006/relationships/hyperlink" Target="https://maps.app.goo.gl/oBCdynk2VvUuRaTC6" TargetMode="External"/><Relationship Id="rId25" Type="http://schemas.openxmlformats.org/officeDocument/2006/relationships/hyperlink" Target="https://maps.app.goo.gl/vG9FVtdjnc55ZjqAA" TargetMode="External"/><Relationship Id="rId2" Type="http://schemas.openxmlformats.org/officeDocument/2006/relationships/hyperlink" Target="https://drive.google.com/drive/folders/1eHlBFM1reVzgtIXheougOtJzbys6mLL-?usp=drive_link" TargetMode="External"/><Relationship Id="rId16" Type="http://schemas.openxmlformats.org/officeDocument/2006/relationships/hyperlink" Target="https://drive.google.com/drive/folders/1Z0gINwecx2I57AMXNwcqCxxoHp-89gTu?usp=drive_link" TargetMode="External"/><Relationship Id="rId20" Type="http://schemas.openxmlformats.org/officeDocument/2006/relationships/hyperlink" Target="https://drive.google.com/drive/folders/1o7UbpDm-XoR5Ml9H7hf5Db5G09z_QS0f?usp=drive_link" TargetMode="External"/><Relationship Id="rId29" Type="http://schemas.openxmlformats.org/officeDocument/2006/relationships/hyperlink" Target="https://maps.app.goo.gl/cr6nDUXMLRT5gAxL7" TargetMode="External"/><Relationship Id="rId1" Type="http://schemas.openxmlformats.org/officeDocument/2006/relationships/hyperlink" Target="https://maps.app.goo.gl/iUVCwFZcjB5qkLWs9" TargetMode="External"/><Relationship Id="rId6" Type="http://schemas.openxmlformats.org/officeDocument/2006/relationships/hyperlink" Target="https://drive.google.com/drive/folders/1luXmHqpbAsXdZ-wQYf20HF9_XukxgTgi?usp=drive_link" TargetMode="External"/><Relationship Id="rId11" Type="http://schemas.openxmlformats.org/officeDocument/2006/relationships/hyperlink" Target="https://maps.app.goo.gl/KHCEH9gCMtiEuP5TA" TargetMode="External"/><Relationship Id="rId24" Type="http://schemas.openxmlformats.org/officeDocument/2006/relationships/hyperlink" Target="https://drive.google.com/drive/folders/1il5yGgmOlsCNZRdQLOzRdOssImO5vdAj?usp=drive_link" TargetMode="External"/><Relationship Id="rId5" Type="http://schemas.openxmlformats.org/officeDocument/2006/relationships/hyperlink" Target="https://maps.app.goo.gl/M1aQ3c28whNhZphX6" TargetMode="External"/><Relationship Id="rId15" Type="http://schemas.openxmlformats.org/officeDocument/2006/relationships/hyperlink" Target="https://maps.app.goo.gl/xYrPEhdnoErWjPn48" TargetMode="External"/><Relationship Id="rId23" Type="http://schemas.openxmlformats.org/officeDocument/2006/relationships/hyperlink" Target="https://maps.app.goo.gl/NJo42MTmcLdBdJRY9" TargetMode="External"/><Relationship Id="rId28" Type="http://schemas.openxmlformats.org/officeDocument/2006/relationships/hyperlink" Target="https://drive.google.com/drive/folders/1mCo99Q1E24wzP0Nz7YPxo9FwJMT5_A2P?usp=drive_link" TargetMode="External"/><Relationship Id="rId10" Type="http://schemas.openxmlformats.org/officeDocument/2006/relationships/hyperlink" Target="https://drive.google.com/drive/folders/13dYP3l0SA3DHvrGWWCU2fvGrIhDvsl3w?usp=drive_link" TargetMode="External"/><Relationship Id="rId19" Type="http://schemas.openxmlformats.org/officeDocument/2006/relationships/hyperlink" Target="https://maps.app.goo.gl/mx48pbHYgyJ2QwJj7" TargetMode="External"/><Relationship Id="rId4" Type="http://schemas.openxmlformats.org/officeDocument/2006/relationships/hyperlink" Target="https://drive.google.com/drive/folders/1INFjMICHHhQ14pc8QY_FJl4snCrf2IFd?usp=drive_link" TargetMode="External"/><Relationship Id="rId9" Type="http://schemas.openxmlformats.org/officeDocument/2006/relationships/hyperlink" Target="https://maps.app.goo.gl/WvXNKyLGQEEv5zXL8" TargetMode="External"/><Relationship Id="rId14" Type="http://schemas.openxmlformats.org/officeDocument/2006/relationships/hyperlink" Target="https://drive.google.com/drive/folders/1G-Ve87WSgqvyeT4bn62ZjriKen3nR-f5?usp=drive_link" TargetMode="External"/><Relationship Id="rId22" Type="http://schemas.openxmlformats.org/officeDocument/2006/relationships/hyperlink" Target="https://drive.google.com/drive/folders/1DttyQj40-ihv486HajS2_P8j6ZiRYi2_?usp=drive_link" TargetMode="External"/><Relationship Id="rId27" Type="http://schemas.openxmlformats.org/officeDocument/2006/relationships/hyperlink" Target="https://maps.app.goo.gl/3uRNWu2QoBJWzAVC8" TargetMode="External"/><Relationship Id="rId30" Type="http://schemas.openxmlformats.org/officeDocument/2006/relationships/hyperlink" Target="https://drive.google.com/drive/folders/1fSJv8wUAWmy1X6Me7ml_pQ5Kvd5RgsFg?usp=drive_link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JXJSe8X57h9uJRMd9" TargetMode="External"/><Relationship Id="rId21" Type="http://schemas.openxmlformats.org/officeDocument/2006/relationships/hyperlink" Target="https://drive.google.com/drive/folders/1THYAyADftPQNVG2cSgh9Fbwlj36hVTrb?usp=drive_link" TargetMode="External"/><Relationship Id="rId42" Type="http://schemas.openxmlformats.org/officeDocument/2006/relationships/hyperlink" Target="https://drive.google.com/drive/folders/1oAlF9gw6zGEX6Kaib93hk_Ltx0ets1b3?usp=drive_link" TargetMode="External"/><Relationship Id="rId47" Type="http://schemas.openxmlformats.org/officeDocument/2006/relationships/hyperlink" Target="https://maps.app.goo.gl/c3GEDg7Rk6xdH8M48" TargetMode="External"/><Relationship Id="rId63" Type="http://schemas.openxmlformats.org/officeDocument/2006/relationships/hyperlink" Target="https://drive.google.com/drive/folders/1YI8n_Mg-cz5AxsuW8RmVo8T5Gm7mewfw?usp=drive_link" TargetMode="External"/><Relationship Id="rId68" Type="http://schemas.openxmlformats.org/officeDocument/2006/relationships/hyperlink" Target="https://maps.app.goo.gl/reyKcK7vFL69GBk5A" TargetMode="External"/><Relationship Id="rId16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1" Type="http://schemas.openxmlformats.org/officeDocument/2006/relationships/hyperlink" Target="https://maps.app.goo.gl/B1LQh9wWutydfbBt6" TargetMode="External"/><Relationship Id="rId32" Type="http://schemas.openxmlformats.org/officeDocument/2006/relationships/hyperlink" Target="https://maps.app.goo.gl/ouwjxwER3hB6vBhX8" TargetMode="External"/><Relationship Id="rId3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3" Type="http://schemas.openxmlformats.org/officeDocument/2006/relationships/hyperlink" Target="https://maps.app.goo.gl/C81C49h6ULctF88Y9" TargetMode="External"/><Relationship Id="rId58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4" Type="http://schemas.openxmlformats.org/officeDocument/2006/relationships/hyperlink" Target="https://maps.app.goo.gl/XDoEXoUyeDTXgB946" TargetMode="External"/><Relationship Id="rId79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" Type="http://schemas.openxmlformats.org/officeDocument/2006/relationships/hyperlink" Target="https://maps.app.goo.gl/KJmwo3oRuFu5j8qo7" TargetMode="External"/><Relationship Id="rId6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9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4" Type="http://schemas.openxmlformats.org/officeDocument/2006/relationships/hyperlink" Target="https://maps.app.goo.gl/A6zkUwFXXGJH8JPZA" TargetMode="External"/><Relationship Id="rId22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27" Type="http://schemas.openxmlformats.org/officeDocument/2006/relationships/hyperlink" Target="https://drive.google.com/drive/folders/1s_RDSYbhee0TxVpJ3ok_0Y11pE914od0?usp=drive_link" TargetMode="External"/><Relationship Id="rId30" Type="http://schemas.openxmlformats.org/officeDocument/2006/relationships/hyperlink" Target="https://drive.google.com/drive/folders/1CApQ4ofs_Nt-e_1ssxONrbiK3DKpcsk_?usp=drive_link" TargetMode="External"/><Relationship Id="rId35" Type="http://schemas.openxmlformats.org/officeDocument/2006/relationships/hyperlink" Target="https://maps.app.goo.gl/TgPLFH6oR1sPkMhC6" TargetMode="External"/><Relationship Id="rId4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48" Type="http://schemas.openxmlformats.org/officeDocument/2006/relationships/hyperlink" Target="https://drive.google.com/drive/folders/1CpgeKnCzU9sw-jJannhpEmxM1cxc7kIz?usp=drive_link" TargetMode="External"/><Relationship Id="rId56" Type="http://schemas.openxmlformats.org/officeDocument/2006/relationships/hyperlink" Target="https://maps.app.goo.gl/keJTE2AWDYQer4Hg8" TargetMode="External"/><Relationship Id="rId6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69" Type="http://schemas.openxmlformats.org/officeDocument/2006/relationships/hyperlink" Target="https://drive.google.com/drive/folders/1wY-MIjbDY3cdNayBEAMz9T5sTCo6zl7b?usp=drive_link" TargetMode="External"/><Relationship Id="rId77" Type="http://schemas.openxmlformats.org/officeDocument/2006/relationships/hyperlink" Target="https://maps.app.goo.gl/DSDpK9zUKpdpuy289" TargetMode="External"/><Relationship Id="rId8" Type="http://schemas.openxmlformats.org/officeDocument/2006/relationships/hyperlink" Target="https://maps.app.goo.gl/vqna62ZbeM3CnScN9" TargetMode="External"/><Relationship Id="rId51" Type="http://schemas.openxmlformats.org/officeDocument/2006/relationships/hyperlink" Target="https://drive.google.com/drive/folders/1ayg9kIV8nGYF530_0lNd6HOfEUhqa7_A?usp=drive_link" TargetMode="External"/><Relationship Id="rId72" Type="http://schemas.openxmlformats.org/officeDocument/2006/relationships/hyperlink" Target="https://drive.google.com/drive/folders/1BYdUeKlPYNQUK2hmvq0EwCnuK7S_bQ1u?usp=drive_link" TargetMode="External"/><Relationship Id="rId80" Type="http://schemas.openxmlformats.org/officeDocument/2006/relationships/hyperlink" Target="https://maps.app.goo.gl/tfJKYDzLSwymteqk7" TargetMode="External"/><Relationship Id="rId3" Type="http://schemas.openxmlformats.org/officeDocument/2006/relationships/hyperlink" Target="https://drive.google.com/drive/folders/18DtUEdbuY4na32bk15Py49iEF3Rq8XQg?usp=drive_link" TargetMode="External"/><Relationship Id="rId12" Type="http://schemas.openxmlformats.org/officeDocument/2006/relationships/hyperlink" Target="https://drive.google.com/drive/folders/1zHtA-84YCi8W6nDPbySl3LzfwFSLaP9Z?usp=drive_link" TargetMode="External"/><Relationship Id="rId17" Type="http://schemas.openxmlformats.org/officeDocument/2006/relationships/hyperlink" Target="https://maps.app.goo.gl/rKGa4poFCQTQHemX8?g_st=ac" TargetMode="External"/><Relationship Id="rId25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33" Type="http://schemas.openxmlformats.org/officeDocument/2006/relationships/hyperlink" Target="https://drive.google.com/drive/folders/17hJshh0RgRqix5G23NJnaIGMkOuU8nVs?usp=drive_link" TargetMode="External"/><Relationship Id="rId38" Type="http://schemas.openxmlformats.org/officeDocument/2006/relationships/hyperlink" Target="https://maps.app.goo.gl/jmDunccPPVk9bzMy7" TargetMode="External"/><Relationship Id="rId46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9" Type="http://schemas.openxmlformats.org/officeDocument/2006/relationships/hyperlink" Target="https://maps.app.goo.gl/HPp9pYs2G2H8KDb4A" TargetMode="External"/><Relationship Id="rId6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20" Type="http://schemas.openxmlformats.org/officeDocument/2006/relationships/hyperlink" Target="https://maps.app.goo.gl/GRxmbZ9EtUPKK5py9" TargetMode="External"/><Relationship Id="rId41" Type="http://schemas.openxmlformats.org/officeDocument/2006/relationships/hyperlink" Target="https://maps.app.goo.gl/K3KZcLLmfQPJNysv9" TargetMode="External"/><Relationship Id="rId54" Type="http://schemas.openxmlformats.org/officeDocument/2006/relationships/hyperlink" Target="https://drive.google.com/drive/folders/1qrOKynVt9scrt67Ziv1Uam_5_KWAhepl?usp=drive_link" TargetMode="External"/><Relationship Id="rId62" Type="http://schemas.openxmlformats.org/officeDocument/2006/relationships/hyperlink" Target="https://maps.app.goo.gl/ouGNAjFrZLPVvkwo6" TargetMode="External"/><Relationship Id="rId7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5" Type="http://schemas.openxmlformats.org/officeDocument/2006/relationships/hyperlink" Target="https://drive.google.com/drive/folders/1YYMTkcdyljpah441N7ghRsy8H1N4DK7D?usp=drive_link" TargetMode="External"/><Relationship Id="rId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6" Type="http://schemas.openxmlformats.org/officeDocument/2006/relationships/hyperlink" Target="https://drive.google.com/drive/folders/1mLywYSigcjjynJifI95svTR45YKVhQVD?usp=drive_link" TargetMode="External"/><Relationship Id="rId15" Type="http://schemas.openxmlformats.org/officeDocument/2006/relationships/hyperlink" Target="https://drive.google.com/drive/folders/1rSs7F8iA0aqnvCgKiUDfQ7Or6OFyaNoF?usp=drive_link" TargetMode="External"/><Relationship Id="rId23" Type="http://schemas.openxmlformats.org/officeDocument/2006/relationships/hyperlink" Target="https://maps.app.goo.gl/SkcwGzCMyzPDXsvG6" TargetMode="External"/><Relationship Id="rId28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36" Type="http://schemas.openxmlformats.org/officeDocument/2006/relationships/hyperlink" Target="https://drive.google.com/drive/folders/1m2t4yEXtNplTUzogTvByzhtHBqUUYlBI?usp=drive_link" TargetMode="External"/><Relationship Id="rId49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7" Type="http://schemas.openxmlformats.org/officeDocument/2006/relationships/hyperlink" Target="https://drive.google.com/drive/folders/1ASmv651gI8KiPa8v7GUEu9_qSp2RzRli?usp=drive_link" TargetMode="External"/><Relationship Id="rId1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3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44" Type="http://schemas.openxmlformats.org/officeDocument/2006/relationships/hyperlink" Target="https://maps.app.goo.gl/QoVZ8vL8zLJjmKVf7" TargetMode="External"/><Relationship Id="rId52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60" Type="http://schemas.openxmlformats.org/officeDocument/2006/relationships/hyperlink" Target="https://drive.google.com/drive/folders/1uPWUpgZjx1wLQWezAXF6v-QjxEfwuu9K?usp=drive_link" TargetMode="External"/><Relationship Id="rId65" Type="http://schemas.openxmlformats.org/officeDocument/2006/relationships/hyperlink" Target="https://maps.app.goo.gl/AEx64UN7xpFJvNit8?g_st=ac" TargetMode="External"/><Relationship Id="rId7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8" Type="http://schemas.openxmlformats.org/officeDocument/2006/relationships/hyperlink" Target="https://drive.google.com/drive/folders/1CCw33xroJzd4J3aDJcGM7ycGmRxAYvwG?usp=drive_link" TargetMode="External"/><Relationship Id="rId81" Type="http://schemas.openxmlformats.org/officeDocument/2006/relationships/hyperlink" Target="https://drive.google.com/drive/folders/10qqYdxcPtg_JDt80_YjgqWcbyHHGKdTe?usp=drive_link" TargetMode="External"/><Relationship Id="rId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9" Type="http://schemas.openxmlformats.org/officeDocument/2006/relationships/hyperlink" Target="https://drive.google.com/drive/folders/1DBOvq0i4Yx30pj4IsrekChfHctszN_mH?usp=drive_link" TargetMode="External"/><Relationship Id="rId1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8" Type="http://schemas.openxmlformats.org/officeDocument/2006/relationships/hyperlink" Target="https://drive.google.com/drive/folders/1qFThk7KJkyI7bEFQjabITRVnChkvoUus?usp=drive_link" TargetMode="External"/><Relationship Id="rId39" Type="http://schemas.openxmlformats.org/officeDocument/2006/relationships/hyperlink" Target="https://drive.google.com/drive/folders/1kh2QuD-ZB5Sl66bovnYR8E_24TuF0iu0?usp=drive_link" TargetMode="External"/><Relationship Id="rId3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0" Type="http://schemas.openxmlformats.org/officeDocument/2006/relationships/hyperlink" Target="https://maps.app.goo.gl/yHFvQ8WPi9WQ8He89" TargetMode="External"/><Relationship Id="rId55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6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1" Type="http://schemas.openxmlformats.org/officeDocument/2006/relationships/hyperlink" Target="https://maps.app.goo.gl/RhLvZDuGVs77DUHr9?g_st=ac" TargetMode="External"/><Relationship Id="rId2" Type="http://schemas.openxmlformats.org/officeDocument/2006/relationships/hyperlink" Target="https://maps.app.goo.gl/yQeME44Gnpqvu1My9" TargetMode="External"/><Relationship Id="rId29" Type="http://schemas.openxmlformats.org/officeDocument/2006/relationships/hyperlink" Target="https://maps.app.goo.gl/BGff9gMRu2nUFbFQ9" TargetMode="External"/><Relationship Id="rId24" Type="http://schemas.openxmlformats.org/officeDocument/2006/relationships/hyperlink" Target="https://drive.google.com/drive/folders/1rHcsePNlNLLBegYX8eB_DE2bxNXv0Sx9?usp=drive_link" TargetMode="External"/><Relationship Id="rId4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45" Type="http://schemas.openxmlformats.org/officeDocument/2006/relationships/hyperlink" Target="https://drive.google.com/drive/folders/1khJqPdFnOglD1on3gj7BHcj0dEoqj6nb?usp=drive_link" TargetMode="External"/><Relationship Id="rId66" Type="http://schemas.openxmlformats.org/officeDocument/2006/relationships/hyperlink" Target="https://drive.google.com/drive/folders/1zzihBaMWqb_Y29N_nP0hX7onNWm3m4By?usp=drive_link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zzihBaMWqb_Y29N_nP0hX7onNWm3m4By?usp=drive_link" TargetMode="External"/><Relationship Id="rId21" Type="http://schemas.openxmlformats.org/officeDocument/2006/relationships/hyperlink" Target="https://drive.google.com/drive/folders/1DBOvq0i4Yx30pj4IsrekChfHctszN_mH?usp=drive_link" TargetMode="External"/><Relationship Id="rId42" Type="http://schemas.openxmlformats.org/officeDocument/2006/relationships/hyperlink" Target="https://drive.google.com/drive/folders/1qZflvSh5c1zljyU8zzmeYkCrJ-99S-tB?usp=drive_link" TargetMode="External"/><Relationship Id="rId63" Type="http://schemas.openxmlformats.org/officeDocument/2006/relationships/hyperlink" Target="https://drive.google.com/drive/folders/1Z0gINwecx2I57AMXNwcqCxxoHp-89gTu?usp=drive_link" TargetMode="External"/><Relationship Id="rId84" Type="http://schemas.openxmlformats.org/officeDocument/2006/relationships/hyperlink" Target="https://drive.google.com/drive/folders/1khJqPdFnOglD1on3gj7BHcj0dEoqj6nb?usp=drive_link" TargetMode="External"/><Relationship Id="rId16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07" Type="http://schemas.openxmlformats.org/officeDocument/2006/relationships/hyperlink" Target="https://maps.app.goo.gl/keJTE2AWDYQer4Hg8" TargetMode="External"/><Relationship Id="rId11" Type="http://schemas.openxmlformats.org/officeDocument/2006/relationships/hyperlink" Target="https://maps.app.goo.gl/yQeME44Gnpqvu1My9" TargetMode="External"/><Relationship Id="rId32" Type="http://schemas.openxmlformats.org/officeDocument/2006/relationships/hyperlink" Target="https://maps.app.goo.gl/A6zkUwFXXGJH8JPZA" TargetMode="External"/><Relationship Id="rId3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3" Type="http://schemas.openxmlformats.org/officeDocument/2006/relationships/hyperlink" Target="https://maps.app.goo.gl/JXJSe8X57h9uJRMd9" TargetMode="External"/><Relationship Id="rId58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4" Type="http://schemas.openxmlformats.org/officeDocument/2006/relationships/hyperlink" Target="https://maps.app.goo.gl/K3KZcLLmfQPJNysv9" TargetMode="External"/><Relationship Id="rId79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02" Type="http://schemas.openxmlformats.org/officeDocument/2006/relationships/hyperlink" Target="https://drive.google.com/drive/folders/16Ea857S84OLENY5iGxGW5afaS2NcQmAJ?usp=drive_link" TargetMode="External"/><Relationship Id="rId123" Type="http://schemas.openxmlformats.org/officeDocument/2006/relationships/hyperlink" Target="https://drive.google.com/drive/folders/1wY-MIjbDY3cdNayBEAMz9T5sTCo6zl7b?usp=drive_link" TargetMode="External"/><Relationship Id="rId128" Type="http://schemas.openxmlformats.org/officeDocument/2006/relationships/hyperlink" Target="https://maps.app.goo.gl/XDoEXoUyeDTXgB946" TargetMode="External"/><Relationship Id="rId5" Type="http://schemas.openxmlformats.org/officeDocument/2006/relationships/hyperlink" Target="https://maps.app.goo.gl/M1aQ3c28whNhZphX6" TargetMode="External"/><Relationship Id="rId90" Type="http://schemas.openxmlformats.org/officeDocument/2006/relationships/hyperlink" Target="https://drive.google.com/drive/folders/1DttyQj40-ihv486HajS2_P8j6ZiRYi2_?usp=drive_link" TargetMode="External"/><Relationship Id="rId95" Type="http://schemas.openxmlformats.org/officeDocument/2006/relationships/hyperlink" Target="https://maps.app.goo.gl/NJo42MTmcLdBdJRY9" TargetMode="External"/><Relationship Id="rId22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27" Type="http://schemas.openxmlformats.org/officeDocument/2006/relationships/hyperlink" Target="https://drive.google.com/drive/folders/13dYP3l0SA3DHvrGWWCU2fvGrIhDvsl3w?usp=drive_link" TargetMode="External"/><Relationship Id="rId4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48" Type="http://schemas.openxmlformats.org/officeDocument/2006/relationships/hyperlink" Target="https://drive.google.com/drive/folders/1OWYec26BgF1SGRR1BwiAuxjTVmKgtfpo?usp=drive_link" TargetMode="External"/><Relationship Id="rId6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69" Type="http://schemas.openxmlformats.org/officeDocument/2006/relationships/hyperlink" Target="https://drive.google.com/drive/folders/1bAKeoWQxmWJr2A3FASza8ekJU38aNi5v?usp=drive_link" TargetMode="External"/><Relationship Id="rId113" Type="http://schemas.openxmlformats.org/officeDocument/2006/relationships/hyperlink" Target="https://maps.app.goo.gl/ouGNAjFrZLPVvkwo6" TargetMode="External"/><Relationship Id="rId118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34" Type="http://schemas.openxmlformats.org/officeDocument/2006/relationships/hyperlink" Target="https://maps.app.goo.gl/tfJKYDzLSwymteqk7" TargetMode="External"/><Relationship Id="rId80" Type="http://schemas.openxmlformats.org/officeDocument/2006/relationships/hyperlink" Target="https://maps.app.goo.gl/mx48pbHYgyJ2QwJj7" TargetMode="External"/><Relationship Id="rId85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2" Type="http://schemas.openxmlformats.org/officeDocument/2006/relationships/hyperlink" Target="https://drive.google.com/drive/folders/18DtUEdbuY4na32bk15Py49iEF3Rq8XQg?usp=drive_link" TargetMode="External"/><Relationship Id="rId17" Type="http://schemas.openxmlformats.org/officeDocument/2006/relationships/hyperlink" Target="https://maps.app.goo.gl/KJmwo3oRuFu5j8qo7" TargetMode="External"/><Relationship Id="rId33" Type="http://schemas.openxmlformats.org/officeDocument/2006/relationships/hyperlink" Target="https://drive.google.com/drive/folders/1rSs7F8iA0aqnvCgKiUDfQ7Or6OFyaNoF?usp=drive_link" TargetMode="External"/><Relationship Id="rId38" Type="http://schemas.openxmlformats.org/officeDocument/2006/relationships/hyperlink" Target="https://maps.app.goo.gl/GRxmbZ9EtUPKK5py9" TargetMode="External"/><Relationship Id="rId59" Type="http://schemas.openxmlformats.org/officeDocument/2006/relationships/hyperlink" Target="https://maps.app.goo.gl/ouwjxwER3hB6vBhX8" TargetMode="External"/><Relationship Id="rId10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08" Type="http://schemas.openxmlformats.org/officeDocument/2006/relationships/hyperlink" Target="https://drive.google.com/drive/folders/1ASmv651gI8KiPa8v7GUEu9_qSp2RzRli?usp=drive_link" TargetMode="External"/><Relationship Id="rId12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29" Type="http://schemas.openxmlformats.org/officeDocument/2006/relationships/hyperlink" Target="https://drive.google.com/drive/folders/1YYMTkcdyljpah441N7ghRsy8H1N4DK7D?usp=drive_link" TargetMode="External"/><Relationship Id="rId54" Type="http://schemas.openxmlformats.org/officeDocument/2006/relationships/hyperlink" Target="https://drive.google.com/drive/folders/1s_RDSYbhee0TxVpJ3ok_0Y11pE914od0?usp=drive_link" TargetMode="External"/><Relationship Id="rId7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5" Type="http://schemas.openxmlformats.org/officeDocument/2006/relationships/hyperlink" Target="https://drive.google.com/drive/folders/1oAlF9gw6zGEX6Kaib93hk_Ltx0ets1b3?usp=drive_link" TargetMode="External"/><Relationship Id="rId9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96" Type="http://schemas.openxmlformats.org/officeDocument/2006/relationships/hyperlink" Target="https://drive.google.com/drive/folders/1il5yGgmOlsCNZRdQLOzRdOssImO5vdAj?usp=drive_link" TargetMode="External"/><Relationship Id="rId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6" Type="http://schemas.openxmlformats.org/officeDocument/2006/relationships/hyperlink" Target="https://drive.google.com/drive/folders/1luXmHqpbAsXdZ-wQYf20HF9_XukxgTgi?usp=drive_link" TargetMode="External"/><Relationship Id="rId23" Type="http://schemas.openxmlformats.org/officeDocument/2006/relationships/hyperlink" Target="https://maps.app.goo.gl/wiXbX8CcBSadCmxE8" TargetMode="External"/><Relationship Id="rId28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49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14" Type="http://schemas.openxmlformats.org/officeDocument/2006/relationships/hyperlink" Target="https://drive.google.com/drive/folders/1YI8n_Mg-cz5AxsuW8RmVo8T5Gm7mewfw?usp=drive_link" TargetMode="External"/><Relationship Id="rId119" Type="http://schemas.openxmlformats.org/officeDocument/2006/relationships/hyperlink" Target="https://maps.app.goo.gl/cr6nDUXMLRT5gAxL7" TargetMode="External"/><Relationship Id="rId44" Type="http://schemas.openxmlformats.org/officeDocument/2006/relationships/hyperlink" Target="https://maps.app.goo.gl/SkcwGzCMyzPDXsvG6" TargetMode="External"/><Relationship Id="rId60" Type="http://schemas.openxmlformats.org/officeDocument/2006/relationships/hyperlink" Target="https://drive.google.com/drive/folders/17hJshh0RgRqix5G23NJnaIGMkOuU8nVs?usp=drive_link" TargetMode="External"/><Relationship Id="rId65" Type="http://schemas.openxmlformats.org/officeDocument/2006/relationships/hyperlink" Target="https://maps.app.goo.gl/TgPLFH6oR1sPkMhC6" TargetMode="External"/><Relationship Id="rId81" Type="http://schemas.openxmlformats.org/officeDocument/2006/relationships/hyperlink" Target="https://drive.google.com/drive/folders/1o7UbpDm-XoR5Ml9H7hf5Db5G09z_QS0f?usp=drive_link" TargetMode="External"/><Relationship Id="rId86" Type="http://schemas.openxmlformats.org/officeDocument/2006/relationships/hyperlink" Target="https://maps.app.goo.gl/c3GEDg7Rk6xdH8M48" TargetMode="External"/><Relationship Id="rId13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35" Type="http://schemas.openxmlformats.org/officeDocument/2006/relationships/hyperlink" Target="https://drive.google.com/drive/folders/10qqYdxcPtg_JDt80_YjgqWcbyHHGKdTe?usp=drive_link" TargetMode="External"/><Relationship Id="rId1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8" Type="http://schemas.openxmlformats.org/officeDocument/2006/relationships/hyperlink" Target="https://drive.google.com/drive/folders/1mLywYSigcjjynJifI95svTR45YKVhQVD?usp=drive_link" TargetMode="External"/><Relationship Id="rId39" Type="http://schemas.openxmlformats.org/officeDocument/2006/relationships/hyperlink" Target="https://drive.google.com/drive/folders/1THYAyADftPQNVG2cSgh9Fbwlj36hVTrb?usp=drive_link" TargetMode="External"/><Relationship Id="rId109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3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0" Type="http://schemas.openxmlformats.org/officeDocument/2006/relationships/hyperlink" Target="https://maps.app.goo.gl/SLh4yQSJx9JTfqQp8" TargetMode="External"/><Relationship Id="rId55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6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9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04" Type="http://schemas.openxmlformats.org/officeDocument/2006/relationships/hyperlink" Target="https://maps.app.goo.gl/3uRNWu2QoBJWzAVC8" TargetMode="External"/><Relationship Id="rId120" Type="http://schemas.openxmlformats.org/officeDocument/2006/relationships/hyperlink" Target="https://drive.google.com/drive/folders/1fSJv8wUAWmy1X6Me7ml_pQ5Kvd5RgsFg?usp=drive_link" TargetMode="External"/><Relationship Id="rId125" Type="http://schemas.openxmlformats.org/officeDocument/2006/relationships/hyperlink" Target="https://maps.app.goo.gl/RhLvZDuGVs77DUHr9?g_st=ac" TargetMode="External"/><Relationship Id="rId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1" Type="http://schemas.openxmlformats.org/officeDocument/2006/relationships/hyperlink" Target="https://maps.app.goo.gl/jmDunccPPVk9bzMy7" TargetMode="External"/><Relationship Id="rId92" Type="http://schemas.openxmlformats.org/officeDocument/2006/relationships/hyperlink" Target="https://maps.app.goo.gl/yHFvQ8WPi9WQ8He89" TargetMode="External"/><Relationship Id="rId2" Type="http://schemas.openxmlformats.org/officeDocument/2006/relationships/hyperlink" Target="https://maps.app.goo.gl/iUVCwFZcjB5qkLWs9" TargetMode="External"/><Relationship Id="rId29" Type="http://schemas.openxmlformats.org/officeDocument/2006/relationships/hyperlink" Target="https://maps.app.goo.gl/B1LQh9wWutydfbBt6" TargetMode="External"/><Relationship Id="rId24" Type="http://schemas.openxmlformats.org/officeDocument/2006/relationships/hyperlink" Target="https://drive.google.com/drive/folders/11CqZoAN8lcQ95JuNaci0GCL5AG_Qe_nr?usp=drive_link" TargetMode="External"/><Relationship Id="rId4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45" Type="http://schemas.openxmlformats.org/officeDocument/2006/relationships/hyperlink" Target="https://drive.google.com/drive/folders/1rHcsePNlNLLBegYX8eB_DE2bxNXv0Sx9?usp=drive_link" TargetMode="External"/><Relationship Id="rId66" Type="http://schemas.openxmlformats.org/officeDocument/2006/relationships/hyperlink" Target="https://drive.google.com/drive/folders/1m2t4yEXtNplTUzogTvByzhtHBqUUYlBI?usp=drive_link" TargetMode="External"/><Relationship Id="rId87" Type="http://schemas.openxmlformats.org/officeDocument/2006/relationships/hyperlink" Target="https://drive.google.com/drive/folders/1CpgeKnCzU9sw-jJannhpEmxM1cxc7kIz?usp=drive_link" TargetMode="External"/><Relationship Id="rId110" Type="http://schemas.openxmlformats.org/officeDocument/2006/relationships/hyperlink" Target="https://maps.app.goo.gl/HPp9pYs2G2H8KDb4A" TargetMode="External"/><Relationship Id="rId115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31" Type="http://schemas.openxmlformats.org/officeDocument/2006/relationships/hyperlink" Target="https://maps.app.goo.gl/DSDpK9zUKpdpuy289" TargetMode="External"/><Relationship Id="rId6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82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9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4" Type="http://schemas.openxmlformats.org/officeDocument/2006/relationships/hyperlink" Target="https://maps.app.goo.gl/nd63tvQZZanBvrSs9" TargetMode="External"/><Relationship Id="rId30" Type="http://schemas.openxmlformats.org/officeDocument/2006/relationships/hyperlink" Target="https://drive.google.com/drive/folders/1zHtA-84YCi8W6nDPbySl3LzfwFSLaP9Z?usp=drive_link" TargetMode="External"/><Relationship Id="rId35" Type="http://schemas.openxmlformats.org/officeDocument/2006/relationships/hyperlink" Target="https://maps.app.goo.gl/rKGa4poFCQTQHemX8?g_st=ac" TargetMode="External"/><Relationship Id="rId56" Type="http://schemas.openxmlformats.org/officeDocument/2006/relationships/hyperlink" Target="https://maps.app.goo.gl/BGff9gMRu2nUFbFQ9" TargetMode="External"/><Relationship Id="rId77" Type="http://schemas.openxmlformats.org/officeDocument/2006/relationships/hyperlink" Target="https://maps.app.goo.gl/oBCdynk2VvUuRaTC6" TargetMode="External"/><Relationship Id="rId10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05" Type="http://schemas.openxmlformats.org/officeDocument/2006/relationships/hyperlink" Target="https://drive.google.com/drive/folders/1mCo99Q1E24wzP0Nz7YPxo9FwJMT5_A2P?usp=drive_link" TargetMode="External"/><Relationship Id="rId126" Type="http://schemas.openxmlformats.org/officeDocument/2006/relationships/hyperlink" Target="https://drive.google.com/drive/folders/1BYdUeKlPYNQUK2hmvq0EwCnuK7S_bQ1u?usp=drive_link" TargetMode="External"/><Relationship Id="rId8" Type="http://schemas.openxmlformats.org/officeDocument/2006/relationships/hyperlink" Target="https://maps.app.goo.gl/7G8Q9yJ4RMSJ4iv79" TargetMode="External"/><Relationship Id="rId51" Type="http://schemas.openxmlformats.org/officeDocument/2006/relationships/hyperlink" Target="https://drive.google.com/drive/folders/1G-Ve87WSgqvyeT4bn62ZjriKen3nR-f5?usp=drive_link" TargetMode="External"/><Relationship Id="rId72" Type="http://schemas.openxmlformats.org/officeDocument/2006/relationships/hyperlink" Target="https://drive.google.com/drive/folders/1kh2QuD-ZB5Sl66bovnYR8E_24TuF0iu0?usp=drive_link" TargetMode="External"/><Relationship Id="rId93" Type="http://schemas.openxmlformats.org/officeDocument/2006/relationships/hyperlink" Target="https://drive.google.com/drive/folders/1ayg9kIV8nGYF530_0lNd6HOfEUhqa7_A?usp=drive_link" TargetMode="External"/><Relationship Id="rId98" Type="http://schemas.openxmlformats.org/officeDocument/2006/relationships/hyperlink" Target="https://maps.app.goo.gl/C81C49h6ULctF88Y9" TargetMode="External"/><Relationship Id="rId12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3" Type="http://schemas.openxmlformats.org/officeDocument/2006/relationships/hyperlink" Target="https://drive.google.com/drive/folders/1eHlBFM1reVzgtIXheougOtJzbys6mLL-?usp=drive_link" TargetMode="External"/><Relationship Id="rId25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46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6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16" Type="http://schemas.openxmlformats.org/officeDocument/2006/relationships/hyperlink" Target="https://maps.app.goo.gl/AEx64UN7xpFJvNit8?g_st=ac" TargetMode="External"/><Relationship Id="rId20" Type="http://schemas.openxmlformats.org/officeDocument/2006/relationships/hyperlink" Target="https://maps.app.goo.gl/vqna62ZbeM3CnScN9" TargetMode="External"/><Relationship Id="rId41" Type="http://schemas.openxmlformats.org/officeDocument/2006/relationships/hyperlink" Target="https://maps.app.goo.gl/Q7rDysKh7ir8wjw77" TargetMode="External"/><Relationship Id="rId62" Type="http://schemas.openxmlformats.org/officeDocument/2006/relationships/hyperlink" Target="https://maps.app.goo.gl/xYrPEhdnoErWjPn48" TargetMode="External"/><Relationship Id="rId83" Type="http://schemas.openxmlformats.org/officeDocument/2006/relationships/hyperlink" Target="https://maps.app.goo.gl/QoVZ8vL8zLJjmKVf7" TargetMode="External"/><Relationship Id="rId88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11" Type="http://schemas.openxmlformats.org/officeDocument/2006/relationships/hyperlink" Target="https://drive.google.com/drive/folders/1uPWUpgZjx1wLQWezAXF6v-QjxEfwuu9K?usp=drive_link" TargetMode="External"/><Relationship Id="rId132" Type="http://schemas.openxmlformats.org/officeDocument/2006/relationships/hyperlink" Target="https://drive.google.com/drive/folders/1CCw33xroJzd4J3aDJcGM7ycGmRxAYvwG?usp=drive_link" TargetMode="External"/><Relationship Id="rId15" Type="http://schemas.openxmlformats.org/officeDocument/2006/relationships/hyperlink" Target="https://drive.google.com/drive/folders/1INFjMICHHhQ14pc8QY_FJl4snCrf2IFd?usp=drive_link" TargetMode="External"/><Relationship Id="rId36" Type="http://schemas.openxmlformats.org/officeDocument/2006/relationships/hyperlink" Target="https://drive.google.com/drive/folders/1qFThk7KJkyI7bEFQjabITRVnChkvoUus?usp=drive_link" TargetMode="External"/><Relationship Id="rId57" Type="http://schemas.openxmlformats.org/officeDocument/2006/relationships/hyperlink" Target="https://drive.google.com/drive/folders/1CApQ4ofs_Nt-e_1ssxONrbiK3DKpcsk_?usp=drive_link" TargetMode="External"/><Relationship Id="rId106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27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0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31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52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78" Type="http://schemas.openxmlformats.org/officeDocument/2006/relationships/hyperlink" Target="https://drive.google.com/drive/folders/1X7VrxLhc8m2_-r_5h7kFOeeGquxJMASj?usp=drive_link" TargetMode="External"/><Relationship Id="rId9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99" Type="http://schemas.openxmlformats.org/officeDocument/2006/relationships/hyperlink" Target="https://drive.google.com/drive/folders/1qrOKynVt9scrt67Ziv1Uam_5_KWAhepl?usp=drive_link" TargetMode="External"/><Relationship Id="rId101" Type="http://schemas.openxmlformats.org/officeDocument/2006/relationships/hyperlink" Target="https://maps.app.goo.gl/vG9FVtdjnc55ZjqAA" TargetMode="External"/><Relationship Id="rId122" Type="http://schemas.openxmlformats.org/officeDocument/2006/relationships/hyperlink" Target="https://maps.app.goo.gl/reyKcK7vFL69GBk5A" TargetMode="External"/><Relationship Id="rId4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9" Type="http://schemas.openxmlformats.org/officeDocument/2006/relationships/hyperlink" Target="https://drive.google.com/drive/folders/1nXHBH-zZ3JQuXSABE8k04FNRkDJaMdEG?usp=drive_link" TargetMode="External"/><Relationship Id="rId26" Type="http://schemas.openxmlformats.org/officeDocument/2006/relationships/hyperlink" Target="https://maps.app.goo.gl/WvXNKyLGQEEv5zXL8" TargetMode="External"/><Relationship Id="rId47" Type="http://schemas.openxmlformats.org/officeDocument/2006/relationships/hyperlink" Target="https://maps.app.goo.gl/KHCEH9gCMtiEuP5TA" TargetMode="External"/><Relationship Id="rId68" Type="http://schemas.openxmlformats.org/officeDocument/2006/relationships/hyperlink" Target="https://maps.app.goo.gl/Mirg7gn5LNWG6FEq8" TargetMode="External"/><Relationship Id="rId89" Type="http://schemas.openxmlformats.org/officeDocument/2006/relationships/hyperlink" Target="https://maps.app.goo.gl/uiQMdvWgDHwHJmM19" TargetMode="External"/><Relationship Id="rId112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Relationship Id="rId133" Type="http://schemas.openxmlformats.org/officeDocument/2006/relationships/hyperlink" Target="https://www.cyberpuerta.mx/Seguridad-y-Vigilancia/Camaras-y-Sistemas-de-Vigilancia/Camaras-de-Seguridad-IP/Ezviz-Camara-de-Seguridad-IP-Smart-WiFi-PT-para-Exteriores-H9C-DUAL-3K-Alambrico-Inalambrico-2880-x-1620-Pixeles-Dia-Noch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5703125" defaultRowHeight="15.75" customHeight="1" x14ac:dyDescent="0.2"/>
  <cols>
    <col min="1" max="1" width="3.28515625" customWidth="1"/>
    <col min="2" max="2" width="16" customWidth="1"/>
    <col min="3" max="3" width="17.42578125" hidden="1" customWidth="1"/>
    <col min="4" max="4" width="18.5703125" hidden="1" customWidth="1"/>
    <col min="5" max="5" width="17.42578125" customWidth="1"/>
    <col min="6" max="6" width="33.5703125" customWidth="1"/>
    <col min="7" max="7" width="24.7109375" customWidth="1"/>
    <col min="8" max="8" width="16.85546875" customWidth="1"/>
    <col min="9" max="9" width="34" customWidth="1"/>
    <col min="10" max="10" width="33.42578125" customWidth="1"/>
    <col min="11" max="11" width="37.5703125" customWidth="1"/>
    <col min="12" max="20" width="27.28515625" customWidth="1"/>
    <col min="21" max="21" width="36.140625" customWidth="1"/>
    <col min="22" max="22" width="33.42578125" customWidth="1"/>
    <col min="23" max="27" width="27.28515625" customWidth="1"/>
    <col min="28" max="28" width="36" customWidth="1"/>
    <col min="29" max="29" width="32.7109375" customWidth="1"/>
    <col min="30" max="30" width="20.42578125" customWidth="1"/>
  </cols>
  <sheetData>
    <row r="1" spans="1:30" ht="83.25" x14ac:dyDescent="0.2">
      <c r="A1" s="2"/>
      <c r="B1" s="179" t="s">
        <v>2</v>
      </c>
      <c r="C1" s="176"/>
      <c r="D1" s="176"/>
      <c r="E1" s="176"/>
      <c r="F1" s="176"/>
      <c r="G1" s="176"/>
      <c r="H1" s="177"/>
      <c r="I1" s="8">
        <f>SUM($E$4:$E$94)</f>
        <v>664</v>
      </c>
      <c r="J1" s="10" t="s">
        <v>20</v>
      </c>
      <c r="K1" s="13">
        <f>SUMIFS($E$4:$E$92,$L$4:$L$92,"Primera Fase")</f>
        <v>193</v>
      </c>
      <c r="L1" s="14" t="s">
        <v>29</v>
      </c>
      <c r="M1" s="13">
        <f>COUNTIF($L$4:$L$92, "Primera Fase")</f>
        <v>12</v>
      </c>
      <c r="N1" s="13"/>
      <c r="O1" s="13"/>
      <c r="P1" s="18" t="s">
        <v>35</v>
      </c>
      <c r="Q1" s="13"/>
      <c r="R1" s="13"/>
      <c r="S1" s="180" t="s">
        <v>38</v>
      </c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20"/>
    </row>
    <row r="2" spans="1:30" ht="35.25" x14ac:dyDescent="0.2">
      <c r="A2" s="21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181" t="s">
        <v>21</v>
      </c>
      <c r="T2" s="176"/>
      <c r="U2" s="176"/>
      <c r="V2" s="177"/>
      <c r="W2" s="181" t="s">
        <v>27</v>
      </c>
      <c r="X2" s="176"/>
      <c r="Y2" s="177"/>
      <c r="Z2" s="181" t="s">
        <v>45</v>
      </c>
      <c r="AA2" s="176"/>
      <c r="AB2" s="176"/>
      <c r="AC2" s="177"/>
      <c r="AD2" s="20"/>
    </row>
    <row r="3" spans="1:30" ht="67.5" customHeight="1" x14ac:dyDescent="0.2">
      <c r="A3" s="4"/>
      <c r="B3" s="4" t="s">
        <v>6</v>
      </c>
      <c r="C3" s="4" t="s">
        <v>48</v>
      </c>
      <c r="D3" s="4" t="s">
        <v>49</v>
      </c>
      <c r="E3" s="4" t="s">
        <v>7</v>
      </c>
      <c r="F3" s="4" t="s">
        <v>50</v>
      </c>
      <c r="G3" s="4" t="s">
        <v>52</v>
      </c>
      <c r="H3" s="4" t="s">
        <v>53</v>
      </c>
      <c r="I3" s="4" t="s">
        <v>8</v>
      </c>
      <c r="J3" s="4" t="s">
        <v>10</v>
      </c>
      <c r="K3" s="4" t="s">
        <v>11</v>
      </c>
      <c r="L3" s="4" t="s">
        <v>55</v>
      </c>
      <c r="M3" s="4" t="s">
        <v>12</v>
      </c>
      <c r="N3" s="4" t="s">
        <v>57</v>
      </c>
      <c r="O3" s="4" t="s">
        <v>59</v>
      </c>
      <c r="P3" s="4" t="s">
        <v>61</v>
      </c>
      <c r="Q3" s="4" t="s">
        <v>62</v>
      </c>
      <c r="R3" s="4" t="s">
        <v>64</v>
      </c>
      <c r="S3" s="27" t="s">
        <v>30</v>
      </c>
      <c r="T3" s="27" t="s">
        <v>31</v>
      </c>
      <c r="U3" s="27" t="s">
        <v>32</v>
      </c>
      <c r="V3" s="27" t="s">
        <v>33</v>
      </c>
      <c r="W3" s="27" t="s">
        <v>30</v>
      </c>
      <c r="X3" s="27" t="s">
        <v>31</v>
      </c>
      <c r="Y3" s="27" t="s">
        <v>36</v>
      </c>
      <c r="Z3" s="27" t="s">
        <v>37</v>
      </c>
      <c r="AA3" s="27" t="s">
        <v>31</v>
      </c>
      <c r="AB3" s="27" t="s">
        <v>39</v>
      </c>
      <c r="AC3" s="30" t="s">
        <v>67</v>
      </c>
      <c r="AD3" s="31"/>
    </row>
    <row r="4" spans="1:30" ht="90" x14ac:dyDescent="0.2">
      <c r="A4" s="2">
        <v>1</v>
      </c>
      <c r="B4" s="32" t="s">
        <v>41</v>
      </c>
      <c r="C4" s="32" t="s">
        <v>72</v>
      </c>
      <c r="D4" s="32" t="s">
        <v>74</v>
      </c>
      <c r="E4" s="32">
        <v>18</v>
      </c>
      <c r="F4" s="32"/>
      <c r="G4" s="32" t="s">
        <v>75</v>
      </c>
      <c r="H4" s="32"/>
      <c r="I4" s="32" t="s">
        <v>76</v>
      </c>
      <c r="J4" s="35" t="s">
        <v>77</v>
      </c>
      <c r="K4" s="37" t="s">
        <v>34</v>
      </c>
      <c r="L4" s="32" t="s">
        <v>86</v>
      </c>
      <c r="M4" s="32" t="s">
        <v>88</v>
      </c>
      <c r="N4" s="32"/>
      <c r="O4" s="32"/>
      <c r="P4" s="32" t="s">
        <v>90</v>
      </c>
      <c r="Q4" s="32" t="s">
        <v>91</v>
      </c>
      <c r="R4" s="32" t="s">
        <v>92</v>
      </c>
      <c r="S4" s="39" t="s">
        <v>42</v>
      </c>
      <c r="T4" s="40">
        <v>1</v>
      </c>
      <c r="U4" s="42">
        <f t="shared" ref="U4:U15" si="0">3760</f>
        <v>3760</v>
      </c>
      <c r="V4" s="42">
        <f t="shared" ref="V4:V15" si="1">189</f>
        <v>189</v>
      </c>
      <c r="W4" s="39" t="s">
        <v>69</v>
      </c>
      <c r="X4" s="40">
        <v>1</v>
      </c>
      <c r="Y4" s="42">
        <f t="shared" ref="Y4:Y15" si="2">429</f>
        <v>429</v>
      </c>
      <c r="Z4" s="40" t="s">
        <v>80</v>
      </c>
      <c r="AA4" s="40">
        <v>1</v>
      </c>
      <c r="AB4" s="42">
        <f t="shared" ref="AB4:AB15" si="3">649</f>
        <v>649</v>
      </c>
      <c r="AC4" s="31">
        <v>1600</v>
      </c>
      <c r="AD4" s="20"/>
    </row>
    <row r="5" spans="1:30" ht="90" x14ac:dyDescent="0.2">
      <c r="A5" s="46">
        <v>2</v>
      </c>
      <c r="B5" s="49" t="s">
        <v>83</v>
      </c>
      <c r="C5" s="49" t="s">
        <v>115</v>
      </c>
      <c r="D5" s="49" t="s">
        <v>116</v>
      </c>
      <c r="E5" s="49">
        <v>20</v>
      </c>
      <c r="F5" s="49" t="s">
        <v>117</v>
      </c>
      <c r="G5" s="49" t="s">
        <v>118</v>
      </c>
      <c r="H5" s="49" t="s">
        <v>119</v>
      </c>
      <c r="I5" s="49" t="s">
        <v>120</v>
      </c>
      <c r="J5" s="56" t="s">
        <v>122</v>
      </c>
      <c r="K5" s="56" t="s">
        <v>34</v>
      </c>
      <c r="L5" s="49" t="s">
        <v>86</v>
      </c>
      <c r="M5" s="49" t="s">
        <v>129</v>
      </c>
      <c r="N5" s="59"/>
      <c r="O5" s="59"/>
      <c r="P5" s="32" t="s">
        <v>90</v>
      </c>
      <c r="Q5" s="32" t="s">
        <v>91</v>
      </c>
      <c r="R5" s="32" t="s">
        <v>134</v>
      </c>
      <c r="S5" s="39" t="s">
        <v>42</v>
      </c>
      <c r="T5" s="40">
        <v>1</v>
      </c>
      <c r="U5" s="42">
        <f t="shared" si="0"/>
        <v>3760</v>
      </c>
      <c r="V5" s="42">
        <f t="shared" si="1"/>
        <v>189</v>
      </c>
      <c r="W5" s="39" t="s">
        <v>69</v>
      </c>
      <c r="X5" s="40">
        <v>1</v>
      </c>
      <c r="Y5" s="42">
        <f t="shared" si="2"/>
        <v>429</v>
      </c>
      <c r="Z5" s="40" t="s">
        <v>80</v>
      </c>
      <c r="AA5" s="40">
        <v>1</v>
      </c>
      <c r="AB5" s="42">
        <f t="shared" si="3"/>
        <v>649</v>
      </c>
      <c r="AC5" s="31">
        <v>1600</v>
      </c>
      <c r="AD5" s="20"/>
    </row>
    <row r="6" spans="1:30" ht="75" x14ac:dyDescent="0.2">
      <c r="A6" s="46">
        <v>3</v>
      </c>
      <c r="B6" s="49" t="s">
        <v>94</v>
      </c>
      <c r="C6" s="49" t="s">
        <v>115</v>
      </c>
      <c r="D6" s="49" t="s">
        <v>116</v>
      </c>
      <c r="E6" s="49">
        <v>20</v>
      </c>
      <c r="F6" s="49" t="s">
        <v>136</v>
      </c>
      <c r="G6" s="49" t="s">
        <v>137</v>
      </c>
      <c r="H6" s="49" t="s">
        <v>138</v>
      </c>
      <c r="I6" s="49" t="s">
        <v>139</v>
      </c>
      <c r="J6" s="56" t="s">
        <v>140</v>
      </c>
      <c r="K6" s="56" t="s">
        <v>34</v>
      </c>
      <c r="L6" s="49" t="s">
        <v>86</v>
      </c>
      <c r="M6" s="49" t="s">
        <v>129</v>
      </c>
      <c r="N6" s="59"/>
      <c r="O6" s="59"/>
      <c r="P6" s="32" t="s">
        <v>90</v>
      </c>
      <c r="Q6" s="32" t="s">
        <v>91</v>
      </c>
      <c r="R6" s="32" t="s">
        <v>134</v>
      </c>
      <c r="S6" s="39" t="s">
        <v>42</v>
      </c>
      <c r="T6" s="40">
        <v>1</v>
      </c>
      <c r="U6" s="42">
        <f t="shared" si="0"/>
        <v>3760</v>
      </c>
      <c r="V6" s="42">
        <f t="shared" si="1"/>
        <v>189</v>
      </c>
      <c r="W6" s="39" t="s">
        <v>69</v>
      </c>
      <c r="X6" s="40">
        <v>1</v>
      </c>
      <c r="Y6" s="42">
        <f t="shared" si="2"/>
        <v>429</v>
      </c>
      <c r="Z6" s="40" t="s">
        <v>80</v>
      </c>
      <c r="AA6" s="40">
        <v>1</v>
      </c>
      <c r="AB6" s="42">
        <f t="shared" si="3"/>
        <v>649</v>
      </c>
      <c r="AC6" s="31">
        <v>1600</v>
      </c>
      <c r="AD6" s="20"/>
    </row>
    <row r="7" spans="1:30" ht="105" x14ac:dyDescent="0.2">
      <c r="A7" s="2">
        <v>4</v>
      </c>
      <c r="B7" s="32" t="s">
        <v>97</v>
      </c>
      <c r="C7" s="32" t="s">
        <v>115</v>
      </c>
      <c r="D7" s="32" t="s">
        <v>116</v>
      </c>
      <c r="E7" s="32">
        <v>20</v>
      </c>
      <c r="F7" s="32" t="s">
        <v>150</v>
      </c>
      <c r="G7" s="32" t="s">
        <v>151</v>
      </c>
      <c r="H7" s="32" t="s">
        <v>152</v>
      </c>
      <c r="I7" s="32" t="s">
        <v>153</v>
      </c>
      <c r="J7" s="35" t="s">
        <v>154</v>
      </c>
      <c r="K7" s="37" t="s">
        <v>34</v>
      </c>
      <c r="L7" s="32" t="s">
        <v>86</v>
      </c>
      <c r="M7" s="32" t="s">
        <v>129</v>
      </c>
      <c r="N7" s="32">
        <v>20</v>
      </c>
      <c r="O7" s="32"/>
      <c r="P7" s="32" t="s">
        <v>92</v>
      </c>
      <c r="Q7" s="32" t="s">
        <v>91</v>
      </c>
      <c r="R7" s="32" t="s">
        <v>159</v>
      </c>
      <c r="S7" s="39" t="s">
        <v>42</v>
      </c>
      <c r="T7" s="40">
        <v>1</v>
      </c>
      <c r="U7" s="42">
        <f t="shared" si="0"/>
        <v>3760</v>
      </c>
      <c r="V7" s="42">
        <f t="shared" si="1"/>
        <v>189</v>
      </c>
      <c r="W7" s="39" t="s">
        <v>69</v>
      </c>
      <c r="X7" s="40">
        <v>1</v>
      </c>
      <c r="Y7" s="42">
        <f t="shared" si="2"/>
        <v>429</v>
      </c>
      <c r="Z7" s="40" t="s">
        <v>80</v>
      </c>
      <c r="AA7" s="40">
        <v>1</v>
      </c>
      <c r="AB7" s="42">
        <f t="shared" si="3"/>
        <v>649</v>
      </c>
      <c r="AC7" s="31">
        <v>1600</v>
      </c>
      <c r="AD7" s="20"/>
    </row>
    <row r="8" spans="1:30" ht="75" x14ac:dyDescent="0.2">
      <c r="A8" s="2">
        <v>5</v>
      </c>
      <c r="B8" s="32" t="s">
        <v>98</v>
      </c>
      <c r="C8" s="32" t="s">
        <v>115</v>
      </c>
      <c r="D8" s="32" t="s">
        <v>116</v>
      </c>
      <c r="E8" s="32">
        <v>12</v>
      </c>
      <c r="F8" s="32" t="s">
        <v>161</v>
      </c>
      <c r="G8" s="32" t="s">
        <v>151</v>
      </c>
      <c r="H8" s="32"/>
      <c r="I8" s="32" t="s">
        <v>163</v>
      </c>
      <c r="J8" s="35" t="s">
        <v>164</v>
      </c>
      <c r="K8" s="37" t="s">
        <v>34</v>
      </c>
      <c r="L8" s="32" t="s">
        <v>86</v>
      </c>
      <c r="M8" s="32" t="s">
        <v>170</v>
      </c>
      <c r="N8" s="32"/>
      <c r="O8" s="32"/>
      <c r="P8" s="32" t="s">
        <v>92</v>
      </c>
      <c r="Q8" s="32" t="s">
        <v>91</v>
      </c>
      <c r="R8" s="32" t="s">
        <v>159</v>
      </c>
      <c r="S8" s="39" t="s">
        <v>42</v>
      </c>
      <c r="T8" s="40">
        <v>1</v>
      </c>
      <c r="U8" s="42">
        <f t="shared" si="0"/>
        <v>3760</v>
      </c>
      <c r="V8" s="42">
        <f t="shared" si="1"/>
        <v>189</v>
      </c>
      <c r="W8" s="39" t="s">
        <v>69</v>
      </c>
      <c r="X8" s="40">
        <v>1</v>
      </c>
      <c r="Y8" s="42">
        <f t="shared" si="2"/>
        <v>429</v>
      </c>
      <c r="Z8" s="40" t="s">
        <v>80</v>
      </c>
      <c r="AA8" s="40">
        <v>1</v>
      </c>
      <c r="AB8" s="42">
        <f t="shared" si="3"/>
        <v>649</v>
      </c>
      <c r="AC8" s="31">
        <v>1600</v>
      </c>
      <c r="AD8" s="20"/>
    </row>
    <row r="9" spans="1:30" ht="90" x14ac:dyDescent="0.2">
      <c r="A9" s="46">
        <v>6</v>
      </c>
      <c r="B9" s="32" t="s">
        <v>99</v>
      </c>
      <c r="C9" s="32" t="s">
        <v>72</v>
      </c>
      <c r="D9" s="32" t="s">
        <v>74</v>
      </c>
      <c r="E9" s="32">
        <v>18</v>
      </c>
      <c r="F9" s="32" t="s">
        <v>173</v>
      </c>
      <c r="G9" s="32" t="s">
        <v>174</v>
      </c>
      <c r="H9" s="32" t="s">
        <v>175</v>
      </c>
      <c r="I9" s="32" t="s">
        <v>95</v>
      </c>
      <c r="J9" s="35" t="s">
        <v>135</v>
      </c>
      <c r="K9" s="37" t="s">
        <v>34</v>
      </c>
      <c r="L9" s="32" t="s">
        <v>86</v>
      </c>
      <c r="M9" s="32" t="s">
        <v>141</v>
      </c>
      <c r="N9" s="32"/>
      <c r="O9" s="32"/>
      <c r="P9" s="32" t="s">
        <v>134</v>
      </c>
      <c r="Q9" s="32" t="s">
        <v>91</v>
      </c>
      <c r="R9" s="32" t="s">
        <v>177</v>
      </c>
      <c r="S9" s="39" t="s">
        <v>42</v>
      </c>
      <c r="T9" s="40">
        <v>1</v>
      </c>
      <c r="U9" s="42">
        <f t="shared" si="0"/>
        <v>3760</v>
      </c>
      <c r="V9" s="42">
        <f t="shared" si="1"/>
        <v>189</v>
      </c>
      <c r="W9" s="39" t="s">
        <v>69</v>
      </c>
      <c r="X9" s="40">
        <v>1</v>
      </c>
      <c r="Y9" s="42">
        <f t="shared" si="2"/>
        <v>429</v>
      </c>
      <c r="Z9" s="40" t="s">
        <v>80</v>
      </c>
      <c r="AA9" s="40">
        <v>1</v>
      </c>
      <c r="AB9" s="42">
        <f t="shared" si="3"/>
        <v>649</v>
      </c>
      <c r="AC9" s="31">
        <v>1600</v>
      </c>
      <c r="AD9" s="20"/>
    </row>
    <row r="10" spans="1:30" ht="105" x14ac:dyDescent="0.2">
      <c r="A10" s="46">
        <v>7</v>
      </c>
      <c r="B10" s="32" t="s">
        <v>56</v>
      </c>
      <c r="C10" s="32" t="s">
        <v>72</v>
      </c>
      <c r="D10" s="32" t="s">
        <v>74</v>
      </c>
      <c r="E10" s="32">
        <v>20</v>
      </c>
      <c r="F10" s="32" t="s">
        <v>184</v>
      </c>
      <c r="G10" s="32" t="s">
        <v>75</v>
      </c>
      <c r="H10" s="32" t="s">
        <v>185</v>
      </c>
      <c r="I10" s="32" t="s">
        <v>58</v>
      </c>
      <c r="J10" s="35" t="s">
        <v>63</v>
      </c>
      <c r="K10" s="37" t="s">
        <v>34</v>
      </c>
      <c r="L10" s="32" t="s">
        <v>86</v>
      </c>
      <c r="M10" s="32" t="s">
        <v>68</v>
      </c>
      <c r="N10" s="32"/>
      <c r="O10" s="32"/>
      <c r="P10" s="32" t="s">
        <v>134</v>
      </c>
      <c r="Q10" s="32" t="s">
        <v>91</v>
      </c>
      <c r="R10" s="32" t="s">
        <v>177</v>
      </c>
      <c r="S10" s="39" t="s">
        <v>42</v>
      </c>
      <c r="T10" s="40">
        <v>1</v>
      </c>
      <c r="U10" s="42">
        <f t="shared" si="0"/>
        <v>3760</v>
      </c>
      <c r="V10" s="42">
        <f t="shared" si="1"/>
        <v>189</v>
      </c>
      <c r="W10" s="39" t="s">
        <v>69</v>
      </c>
      <c r="X10" s="40">
        <v>1</v>
      </c>
      <c r="Y10" s="42">
        <f t="shared" si="2"/>
        <v>429</v>
      </c>
      <c r="Z10" s="40" t="s">
        <v>80</v>
      </c>
      <c r="AA10" s="40">
        <v>1</v>
      </c>
      <c r="AB10" s="42">
        <f t="shared" si="3"/>
        <v>649</v>
      </c>
      <c r="AC10" s="31">
        <v>1600</v>
      </c>
      <c r="AD10" s="20"/>
    </row>
    <row r="11" spans="1:30" ht="75" x14ac:dyDescent="0.2">
      <c r="A11" s="2">
        <v>8</v>
      </c>
      <c r="B11" s="32" t="s">
        <v>103</v>
      </c>
      <c r="C11" s="32" t="s">
        <v>196</v>
      </c>
      <c r="D11" s="32" t="s">
        <v>197</v>
      </c>
      <c r="E11" s="32">
        <v>20</v>
      </c>
      <c r="F11" s="32" t="s">
        <v>198</v>
      </c>
      <c r="G11" s="32" t="s">
        <v>200</v>
      </c>
      <c r="H11" s="32" t="s">
        <v>201</v>
      </c>
      <c r="I11" s="32" t="s">
        <v>203</v>
      </c>
      <c r="J11" s="35" t="s">
        <v>204</v>
      </c>
      <c r="K11" s="37" t="s">
        <v>34</v>
      </c>
      <c r="L11" s="32" t="s">
        <v>86</v>
      </c>
      <c r="M11" s="32" t="s">
        <v>85</v>
      </c>
      <c r="N11" s="32"/>
      <c r="O11" s="32"/>
      <c r="P11" s="32" t="s">
        <v>159</v>
      </c>
      <c r="Q11" s="32" t="s">
        <v>91</v>
      </c>
      <c r="R11" s="32" t="s">
        <v>209</v>
      </c>
      <c r="S11" s="39" t="s">
        <v>42</v>
      </c>
      <c r="T11" s="40">
        <v>1</v>
      </c>
      <c r="U11" s="42">
        <f t="shared" si="0"/>
        <v>3760</v>
      </c>
      <c r="V11" s="42">
        <f t="shared" si="1"/>
        <v>189</v>
      </c>
      <c r="W11" s="39" t="s">
        <v>69</v>
      </c>
      <c r="X11" s="40">
        <v>1</v>
      </c>
      <c r="Y11" s="42">
        <f t="shared" si="2"/>
        <v>429</v>
      </c>
      <c r="Z11" s="40" t="s">
        <v>80</v>
      </c>
      <c r="AA11" s="40">
        <v>1</v>
      </c>
      <c r="AB11" s="42">
        <f t="shared" si="3"/>
        <v>649</v>
      </c>
      <c r="AC11" s="31">
        <v>1600</v>
      </c>
      <c r="AD11" s="20"/>
    </row>
    <row r="12" spans="1:30" ht="75" x14ac:dyDescent="0.2">
      <c r="A12" s="2">
        <v>9</v>
      </c>
      <c r="B12" s="32" t="s">
        <v>60</v>
      </c>
      <c r="C12" s="32" t="s">
        <v>196</v>
      </c>
      <c r="D12" s="32" t="s">
        <v>197</v>
      </c>
      <c r="E12" s="32">
        <v>5</v>
      </c>
      <c r="F12" s="32" t="s">
        <v>211</v>
      </c>
      <c r="G12" s="32" t="s">
        <v>212</v>
      </c>
      <c r="H12" s="32"/>
      <c r="I12" s="32" t="s">
        <v>65</v>
      </c>
      <c r="J12" s="35" t="s">
        <v>66</v>
      </c>
      <c r="K12" s="37" t="s">
        <v>34</v>
      </c>
      <c r="L12" s="32" t="s">
        <v>86</v>
      </c>
      <c r="M12" s="32" t="s">
        <v>73</v>
      </c>
      <c r="N12" s="32"/>
      <c r="O12" s="32"/>
      <c r="P12" s="32" t="s">
        <v>159</v>
      </c>
      <c r="Q12" s="32" t="s">
        <v>91</v>
      </c>
      <c r="R12" s="32" t="s">
        <v>215</v>
      </c>
      <c r="S12" s="39" t="s">
        <v>42</v>
      </c>
      <c r="T12" s="40">
        <v>1</v>
      </c>
      <c r="U12" s="42">
        <f t="shared" si="0"/>
        <v>3760</v>
      </c>
      <c r="V12" s="42">
        <f t="shared" si="1"/>
        <v>189</v>
      </c>
      <c r="W12" s="39" t="s">
        <v>69</v>
      </c>
      <c r="X12" s="40">
        <v>1</v>
      </c>
      <c r="Y12" s="42">
        <f t="shared" si="2"/>
        <v>429</v>
      </c>
      <c r="Z12" s="40" t="s">
        <v>80</v>
      </c>
      <c r="AA12" s="40">
        <v>1</v>
      </c>
      <c r="AB12" s="42">
        <f t="shared" si="3"/>
        <v>649</v>
      </c>
      <c r="AC12" s="31">
        <v>1600</v>
      </c>
      <c r="AD12" s="20"/>
    </row>
    <row r="13" spans="1:30" ht="75" x14ac:dyDescent="0.2">
      <c r="A13" s="46">
        <v>10</v>
      </c>
      <c r="B13" s="32" t="s">
        <v>78</v>
      </c>
      <c r="C13" s="32" t="s">
        <v>196</v>
      </c>
      <c r="D13" s="32" t="s">
        <v>197</v>
      </c>
      <c r="E13" s="32">
        <v>20</v>
      </c>
      <c r="F13" s="32" t="s">
        <v>218</v>
      </c>
      <c r="G13" s="32" t="s">
        <v>75</v>
      </c>
      <c r="H13" s="32"/>
      <c r="I13" s="32" t="s">
        <v>65</v>
      </c>
      <c r="J13" s="35" t="s">
        <v>79</v>
      </c>
      <c r="K13" s="37" t="s">
        <v>34</v>
      </c>
      <c r="L13" s="32" t="s">
        <v>86</v>
      </c>
      <c r="M13" s="32" t="s">
        <v>85</v>
      </c>
      <c r="N13" s="32"/>
      <c r="O13" s="32"/>
      <c r="P13" s="32" t="s">
        <v>159</v>
      </c>
      <c r="Q13" s="32" t="s">
        <v>91</v>
      </c>
      <c r="R13" s="32" t="s">
        <v>215</v>
      </c>
      <c r="S13" s="39" t="s">
        <v>42</v>
      </c>
      <c r="T13" s="40">
        <v>1</v>
      </c>
      <c r="U13" s="42">
        <f t="shared" si="0"/>
        <v>3760</v>
      </c>
      <c r="V13" s="42">
        <f t="shared" si="1"/>
        <v>189</v>
      </c>
      <c r="W13" s="39" t="s">
        <v>69</v>
      </c>
      <c r="X13" s="40">
        <v>1</v>
      </c>
      <c r="Y13" s="42">
        <f t="shared" si="2"/>
        <v>429</v>
      </c>
      <c r="Z13" s="40" t="s">
        <v>80</v>
      </c>
      <c r="AA13" s="40">
        <v>1</v>
      </c>
      <c r="AB13" s="42">
        <f t="shared" si="3"/>
        <v>649</v>
      </c>
      <c r="AC13" s="31">
        <v>1600</v>
      </c>
      <c r="AD13" s="20"/>
    </row>
    <row r="14" spans="1:30" ht="60" x14ac:dyDescent="0.2">
      <c r="A14" s="46">
        <v>11</v>
      </c>
      <c r="B14" s="32" t="s">
        <v>108</v>
      </c>
      <c r="C14" s="32" t="s">
        <v>196</v>
      </c>
      <c r="D14" s="32" t="s">
        <v>197</v>
      </c>
      <c r="E14" s="32">
        <v>10</v>
      </c>
      <c r="F14" s="32" t="s">
        <v>222</v>
      </c>
      <c r="G14" s="32" t="s">
        <v>137</v>
      </c>
      <c r="H14" s="32"/>
      <c r="I14" s="32" t="s">
        <v>223</v>
      </c>
      <c r="J14" s="35" t="s">
        <v>224</v>
      </c>
      <c r="K14" s="37" t="s">
        <v>34</v>
      </c>
      <c r="L14" s="32" t="s">
        <v>86</v>
      </c>
      <c r="M14" s="32" t="s">
        <v>228</v>
      </c>
      <c r="N14" s="32"/>
      <c r="O14" s="32"/>
      <c r="P14" s="32" t="s">
        <v>177</v>
      </c>
      <c r="Q14" s="32" t="s">
        <v>91</v>
      </c>
      <c r="R14" s="32" t="s">
        <v>229</v>
      </c>
      <c r="S14" s="39" t="s">
        <v>42</v>
      </c>
      <c r="T14" s="40">
        <v>1</v>
      </c>
      <c r="U14" s="42">
        <f t="shared" si="0"/>
        <v>3760</v>
      </c>
      <c r="V14" s="42">
        <f t="shared" si="1"/>
        <v>189</v>
      </c>
      <c r="W14" s="39" t="s">
        <v>69</v>
      </c>
      <c r="X14" s="40">
        <v>1</v>
      </c>
      <c r="Y14" s="42">
        <f t="shared" si="2"/>
        <v>429</v>
      </c>
      <c r="Z14" s="40" t="s">
        <v>80</v>
      </c>
      <c r="AA14" s="40">
        <v>1</v>
      </c>
      <c r="AB14" s="42">
        <f t="shared" si="3"/>
        <v>649</v>
      </c>
      <c r="AC14" s="31">
        <v>1600</v>
      </c>
      <c r="AD14" s="20"/>
    </row>
    <row r="15" spans="1:30" ht="90" x14ac:dyDescent="0.2">
      <c r="A15" s="2">
        <v>12</v>
      </c>
      <c r="B15" s="32" t="s">
        <v>114</v>
      </c>
      <c r="C15" s="32" t="s">
        <v>196</v>
      </c>
      <c r="D15" s="32" t="s">
        <v>197</v>
      </c>
      <c r="E15" s="32">
        <v>10</v>
      </c>
      <c r="F15" s="32" t="s">
        <v>231</v>
      </c>
      <c r="G15" s="32" t="s">
        <v>232</v>
      </c>
      <c r="H15" s="32"/>
      <c r="I15" s="32" t="s">
        <v>223</v>
      </c>
      <c r="J15" s="35" t="s">
        <v>233</v>
      </c>
      <c r="K15" s="37" t="s">
        <v>34</v>
      </c>
      <c r="L15" s="32" t="s">
        <v>86</v>
      </c>
      <c r="M15" s="32" t="s">
        <v>234</v>
      </c>
      <c r="N15" s="32"/>
      <c r="O15" s="32"/>
      <c r="P15" s="32" t="s">
        <v>177</v>
      </c>
      <c r="Q15" s="32" t="s">
        <v>91</v>
      </c>
      <c r="R15" s="32" t="s">
        <v>229</v>
      </c>
      <c r="S15" s="39" t="s">
        <v>42</v>
      </c>
      <c r="T15" s="40">
        <v>1</v>
      </c>
      <c r="U15" s="42">
        <f t="shared" si="0"/>
        <v>3760</v>
      </c>
      <c r="V15" s="42">
        <f t="shared" si="1"/>
        <v>189</v>
      </c>
      <c r="W15" s="39" t="s">
        <v>69</v>
      </c>
      <c r="X15" s="40">
        <v>1</v>
      </c>
      <c r="Y15" s="42">
        <f t="shared" si="2"/>
        <v>429</v>
      </c>
      <c r="Z15" s="40" t="s">
        <v>80</v>
      </c>
      <c r="AA15" s="40">
        <v>1</v>
      </c>
      <c r="AB15" s="42">
        <f t="shared" si="3"/>
        <v>649</v>
      </c>
      <c r="AC15" s="31">
        <v>1600</v>
      </c>
      <c r="AD15" s="20"/>
    </row>
    <row r="16" spans="1:30" ht="21.75" x14ac:dyDescent="0.2">
      <c r="A16" s="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61"/>
      <c r="R16" s="61"/>
      <c r="S16" s="40"/>
      <c r="T16" s="40">
        <f t="shared" ref="T16:V16" si="4">SUM(T4:T15)</f>
        <v>12</v>
      </c>
      <c r="U16" s="82">
        <f t="shared" si="4"/>
        <v>45120</v>
      </c>
      <c r="V16" s="82">
        <f t="shared" si="4"/>
        <v>2268</v>
      </c>
      <c r="W16" s="40"/>
      <c r="X16" s="40">
        <f t="shared" ref="X16:Y16" si="5">SUM(X3:X15)</f>
        <v>12</v>
      </c>
      <c r="Y16" s="31">
        <f t="shared" si="5"/>
        <v>5148</v>
      </c>
      <c r="Z16" s="40"/>
      <c r="AA16" s="40">
        <f>SUM(AA4:AA15)</f>
        <v>12</v>
      </c>
      <c r="AB16" s="42">
        <f>SUM(AB3:AB15)</f>
        <v>7788</v>
      </c>
      <c r="AC16" s="31">
        <f>SUM(AC4:AC15)</f>
        <v>19200</v>
      </c>
      <c r="AD16" s="86"/>
    </row>
    <row r="17" spans="1:30" ht="21.75" x14ac:dyDescent="0.2">
      <c r="A17" s="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61"/>
      <c r="R17" s="61"/>
      <c r="S17" s="40"/>
      <c r="T17" s="40"/>
      <c r="U17" s="173">
        <f>SUM(U16+V16)</f>
        <v>47388</v>
      </c>
      <c r="V17" s="174"/>
      <c r="W17" s="40"/>
      <c r="X17" s="173">
        <f>Y16</f>
        <v>5148</v>
      </c>
      <c r="Y17" s="174"/>
      <c r="Z17" s="40"/>
      <c r="AA17" s="40"/>
      <c r="AB17" s="173">
        <f>AB16+AC16</f>
        <v>26988</v>
      </c>
      <c r="AC17" s="174"/>
      <c r="AD17" s="86"/>
    </row>
    <row r="18" spans="1:30" ht="18" x14ac:dyDescent="0.2">
      <c r="A18" s="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86"/>
      <c r="AD18" s="86"/>
    </row>
    <row r="19" spans="1:30" ht="18" x14ac:dyDescent="0.2">
      <c r="A19" s="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86"/>
      <c r="AD19" s="86"/>
    </row>
    <row r="20" spans="1:30" ht="45" x14ac:dyDescent="0.2">
      <c r="A20" s="175" t="s">
        <v>249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7"/>
      <c r="N20" s="93"/>
      <c r="O20" s="93"/>
      <c r="P20" s="78" t="s">
        <v>258</v>
      </c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 spans="1:30" ht="45" x14ac:dyDescent="0.2">
      <c r="A21" s="175" t="s">
        <v>262</v>
      </c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7"/>
      <c r="N21" s="93"/>
      <c r="O21" s="93"/>
      <c r="P21" s="78" t="s">
        <v>263</v>
      </c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 spans="1:30" ht="20.25" x14ac:dyDescent="0.3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3"/>
      <c r="O22" s="93"/>
      <c r="P22" s="78"/>
      <c r="Q22" s="95"/>
      <c r="R22" s="95"/>
      <c r="S22" s="178" t="s">
        <v>264</v>
      </c>
      <c r="T22" s="176"/>
      <c r="U22" s="177"/>
      <c r="V22" s="95"/>
      <c r="W22" s="97"/>
      <c r="X22" s="97"/>
      <c r="Y22" s="97"/>
      <c r="Z22" s="95"/>
      <c r="AA22" s="95"/>
      <c r="AB22" s="95"/>
      <c r="AC22" s="95"/>
      <c r="AD22" s="95"/>
    </row>
    <row r="23" spans="1:30" ht="21.75" x14ac:dyDescent="0.3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3"/>
      <c r="O23" s="93"/>
      <c r="P23" s="78"/>
      <c r="Q23" s="95"/>
      <c r="R23" s="95"/>
      <c r="S23" s="98" t="s">
        <v>30</v>
      </c>
      <c r="T23" s="98" t="s">
        <v>31</v>
      </c>
      <c r="U23" s="98" t="s">
        <v>268</v>
      </c>
      <c r="V23" s="95"/>
      <c r="W23" s="97"/>
      <c r="X23" s="97"/>
      <c r="Y23" s="97"/>
      <c r="Z23" s="95"/>
      <c r="AA23" s="95"/>
      <c r="AB23" s="95"/>
      <c r="AC23" s="95"/>
      <c r="AD23" s="95"/>
    </row>
    <row r="24" spans="1:30" ht="90" x14ac:dyDescent="0.2">
      <c r="A24" s="2">
        <v>13</v>
      </c>
      <c r="B24" s="32" t="s">
        <v>219</v>
      </c>
      <c r="C24" s="32" t="s">
        <v>115</v>
      </c>
      <c r="D24" s="32" t="s">
        <v>116</v>
      </c>
      <c r="E24" s="32">
        <v>20</v>
      </c>
      <c r="F24" s="32" t="s">
        <v>269</v>
      </c>
      <c r="G24" s="32" t="s">
        <v>75</v>
      </c>
      <c r="H24" s="32" t="s">
        <v>270</v>
      </c>
      <c r="I24" s="32" t="s">
        <v>220</v>
      </c>
      <c r="J24" s="35" t="s">
        <v>221</v>
      </c>
      <c r="K24" s="37" t="s">
        <v>34</v>
      </c>
      <c r="L24" s="32" t="s">
        <v>271</v>
      </c>
      <c r="M24" s="32" t="s">
        <v>225</v>
      </c>
      <c r="N24" s="32">
        <v>15</v>
      </c>
      <c r="O24" s="32">
        <v>15</v>
      </c>
      <c r="P24" s="32" t="s">
        <v>215</v>
      </c>
      <c r="Q24" s="32" t="s">
        <v>229</v>
      </c>
      <c r="R24" s="32" t="s">
        <v>272</v>
      </c>
      <c r="S24" s="32"/>
      <c r="T24" s="32">
        <v>1</v>
      </c>
      <c r="U24" s="32">
        <v>215.29599999999999</v>
      </c>
      <c r="V24" s="61"/>
      <c r="W24" s="61"/>
      <c r="X24" s="61"/>
      <c r="Y24" s="61">
        <v>215.29599999999999</v>
      </c>
      <c r="Z24" s="61"/>
      <c r="AA24" s="61"/>
      <c r="AB24" s="61"/>
      <c r="AC24" s="86"/>
      <c r="AD24" s="86"/>
    </row>
    <row r="25" spans="1:30" ht="75" x14ac:dyDescent="0.2">
      <c r="A25" s="2">
        <v>14</v>
      </c>
      <c r="B25" s="32" t="s">
        <v>226</v>
      </c>
      <c r="C25" s="32" t="s">
        <v>115</v>
      </c>
      <c r="D25" s="32" t="s">
        <v>116</v>
      </c>
      <c r="E25" s="32">
        <v>20</v>
      </c>
      <c r="F25" s="32" t="s">
        <v>273</v>
      </c>
      <c r="G25" s="32" t="s">
        <v>75</v>
      </c>
      <c r="H25" s="32" t="s">
        <v>274</v>
      </c>
      <c r="I25" s="32" t="s">
        <v>220</v>
      </c>
      <c r="J25" s="35" t="s">
        <v>227</v>
      </c>
      <c r="K25" s="37" t="s">
        <v>34</v>
      </c>
      <c r="L25" s="32" t="s">
        <v>271</v>
      </c>
      <c r="M25" s="32" t="s">
        <v>230</v>
      </c>
      <c r="N25" s="32">
        <v>10</v>
      </c>
      <c r="O25" s="32">
        <v>10</v>
      </c>
      <c r="P25" s="32" t="s">
        <v>215</v>
      </c>
      <c r="Q25" s="32" t="s">
        <v>91</v>
      </c>
      <c r="R25" s="32" t="s">
        <v>272</v>
      </c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86"/>
      <c r="AD25" s="86"/>
    </row>
    <row r="26" spans="1:30" ht="105" x14ac:dyDescent="0.2">
      <c r="A26" s="2">
        <v>15</v>
      </c>
      <c r="B26" s="32" t="s">
        <v>111</v>
      </c>
      <c r="C26" s="32" t="s">
        <v>275</v>
      </c>
      <c r="D26" s="32" t="s">
        <v>276</v>
      </c>
      <c r="E26" s="32">
        <v>20</v>
      </c>
      <c r="F26" s="32" t="s">
        <v>277</v>
      </c>
      <c r="G26" s="32" t="s">
        <v>75</v>
      </c>
      <c r="H26" s="32" t="s">
        <v>278</v>
      </c>
      <c r="I26" s="32" t="s">
        <v>112</v>
      </c>
      <c r="J26" s="37" t="s">
        <v>113</v>
      </c>
      <c r="K26" s="37" t="s">
        <v>34</v>
      </c>
      <c r="L26" s="32" t="s">
        <v>271</v>
      </c>
      <c r="M26" s="32" t="s">
        <v>125</v>
      </c>
      <c r="N26" s="32">
        <v>20</v>
      </c>
      <c r="O26" s="32">
        <v>20</v>
      </c>
      <c r="P26" s="32" t="s">
        <v>229</v>
      </c>
      <c r="Q26" s="32" t="s">
        <v>272</v>
      </c>
      <c r="R26" s="32" t="s">
        <v>283</v>
      </c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86"/>
      <c r="AD26" s="86"/>
    </row>
    <row r="27" spans="1:30" ht="75" x14ac:dyDescent="0.2">
      <c r="A27" s="2">
        <v>16</v>
      </c>
      <c r="B27" s="32" t="s">
        <v>127</v>
      </c>
      <c r="C27" s="32" t="s">
        <v>275</v>
      </c>
      <c r="D27" s="32" t="s">
        <v>276</v>
      </c>
      <c r="E27" s="32">
        <v>20</v>
      </c>
      <c r="F27" s="32" t="s">
        <v>286</v>
      </c>
      <c r="G27" s="32" t="s">
        <v>75</v>
      </c>
      <c r="H27" s="32" t="s">
        <v>287</v>
      </c>
      <c r="I27" s="32" t="s">
        <v>112</v>
      </c>
      <c r="J27" s="35" t="s">
        <v>128</v>
      </c>
      <c r="K27" s="37" t="s">
        <v>34</v>
      </c>
      <c r="L27" s="32" t="s">
        <v>271</v>
      </c>
      <c r="M27" s="32" t="s">
        <v>130</v>
      </c>
      <c r="N27" s="32">
        <v>20</v>
      </c>
      <c r="O27" s="32">
        <v>20</v>
      </c>
      <c r="P27" s="32" t="s">
        <v>229</v>
      </c>
      <c r="Q27" s="32" t="s">
        <v>91</v>
      </c>
      <c r="R27" s="32" t="s">
        <v>283</v>
      </c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86"/>
      <c r="AD27" s="86"/>
    </row>
    <row r="28" spans="1:30" ht="105" x14ac:dyDescent="0.2">
      <c r="A28" s="2">
        <v>17</v>
      </c>
      <c r="B28" s="32" t="s">
        <v>171</v>
      </c>
      <c r="C28" s="32" t="s">
        <v>72</v>
      </c>
      <c r="D28" s="32" t="s">
        <v>74</v>
      </c>
      <c r="E28" s="32">
        <v>10</v>
      </c>
      <c r="F28" s="32" t="s">
        <v>277</v>
      </c>
      <c r="G28" s="32" t="s">
        <v>75</v>
      </c>
      <c r="H28" s="32" t="s">
        <v>289</v>
      </c>
      <c r="I28" s="32" t="s">
        <v>76</v>
      </c>
      <c r="J28" s="37" t="s">
        <v>172</v>
      </c>
      <c r="K28" s="37" t="s">
        <v>34</v>
      </c>
      <c r="L28" s="32" t="s">
        <v>271</v>
      </c>
      <c r="M28" s="32" t="s">
        <v>180</v>
      </c>
      <c r="N28" s="32">
        <v>10</v>
      </c>
      <c r="O28" s="32">
        <v>10</v>
      </c>
      <c r="P28" s="32" t="s">
        <v>272</v>
      </c>
      <c r="Q28" s="32" t="s">
        <v>283</v>
      </c>
      <c r="R28" s="32" t="s">
        <v>292</v>
      </c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86"/>
      <c r="AD28" s="86"/>
    </row>
    <row r="29" spans="1:30" ht="75" x14ac:dyDescent="0.2">
      <c r="A29" s="2">
        <v>18</v>
      </c>
      <c r="B29" s="32" t="s">
        <v>186</v>
      </c>
      <c r="C29" s="32" t="s">
        <v>72</v>
      </c>
      <c r="D29" s="32" t="s">
        <v>74</v>
      </c>
      <c r="E29" s="32">
        <v>6</v>
      </c>
      <c r="F29" s="32" t="s">
        <v>277</v>
      </c>
      <c r="G29" s="32" t="s">
        <v>174</v>
      </c>
      <c r="H29" s="32"/>
      <c r="I29" s="32" t="s">
        <v>76</v>
      </c>
      <c r="J29" s="35" t="s">
        <v>187</v>
      </c>
      <c r="K29" s="37" t="s">
        <v>34</v>
      </c>
      <c r="L29" s="32" t="s">
        <v>271</v>
      </c>
      <c r="M29" s="32" t="s">
        <v>189</v>
      </c>
      <c r="N29" s="32"/>
      <c r="O29" s="32"/>
      <c r="P29" s="32" t="s">
        <v>272</v>
      </c>
      <c r="Q29" s="32" t="s">
        <v>283</v>
      </c>
      <c r="R29" s="32" t="s">
        <v>292</v>
      </c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86"/>
      <c r="AD29" s="86"/>
    </row>
    <row r="30" spans="1:30" ht="105" x14ac:dyDescent="0.2">
      <c r="A30" s="2">
        <v>19</v>
      </c>
      <c r="B30" s="32" t="s">
        <v>87</v>
      </c>
      <c r="C30" s="32" t="s">
        <v>196</v>
      </c>
      <c r="D30" s="32" t="s">
        <v>197</v>
      </c>
      <c r="E30" s="32">
        <v>15</v>
      </c>
      <c r="F30" s="32" t="s">
        <v>293</v>
      </c>
      <c r="G30" s="32" t="s">
        <v>200</v>
      </c>
      <c r="H30" s="32" t="s">
        <v>294</v>
      </c>
      <c r="I30" s="32" t="s">
        <v>65</v>
      </c>
      <c r="J30" s="35" t="s">
        <v>93</v>
      </c>
      <c r="K30" s="37" t="s">
        <v>34</v>
      </c>
      <c r="L30" s="32" t="s">
        <v>271</v>
      </c>
      <c r="M30" s="32" t="s">
        <v>100</v>
      </c>
      <c r="N30" s="32">
        <v>15</v>
      </c>
      <c r="O30" s="32">
        <v>15</v>
      </c>
      <c r="P30" s="32" t="s">
        <v>283</v>
      </c>
      <c r="Q30" s="32" t="s">
        <v>292</v>
      </c>
      <c r="R30" s="32" t="s">
        <v>298</v>
      </c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86"/>
      <c r="AD30" s="86"/>
    </row>
    <row r="31" spans="1:30" ht="90" x14ac:dyDescent="0.2">
      <c r="A31" s="2">
        <v>20</v>
      </c>
      <c r="B31" s="32" t="s">
        <v>101</v>
      </c>
      <c r="C31" s="32" t="s">
        <v>196</v>
      </c>
      <c r="D31" s="32" t="s">
        <v>197</v>
      </c>
      <c r="E31" s="32">
        <v>10</v>
      </c>
      <c r="F31" s="32" t="s">
        <v>299</v>
      </c>
      <c r="G31" s="32" t="s">
        <v>200</v>
      </c>
      <c r="H31" s="32" t="s">
        <v>274</v>
      </c>
      <c r="I31" s="32" t="s">
        <v>65</v>
      </c>
      <c r="J31" s="35" t="s">
        <v>102</v>
      </c>
      <c r="K31" s="37" t="s">
        <v>34</v>
      </c>
      <c r="L31" s="32" t="s">
        <v>271</v>
      </c>
      <c r="M31" s="32" t="s">
        <v>106</v>
      </c>
      <c r="N31" s="32">
        <v>10</v>
      </c>
      <c r="O31" s="32">
        <v>10</v>
      </c>
      <c r="P31" s="32" t="s">
        <v>283</v>
      </c>
      <c r="Q31" s="32" t="s">
        <v>91</v>
      </c>
      <c r="R31" s="32" t="s">
        <v>298</v>
      </c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86"/>
      <c r="AD31" s="86"/>
    </row>
    <row r="32" spans="1:30" ht="75" x14ac:dyDescent="0.2">
      <c r="A32" s="2">
        <v>21</v>
      </c>
      <c r="B32" s="32" t="s">
        <v>250</v>
      </c>
      <c r="C32" s="32" t="s">
        <v>275</v>
      </c>
      <c r="D32" s="32" t="s">
        <v>276</v>
      </c>
      <c r="E32" s="32">
        <v>20</v>
      </c>
      <c r="F32" s="32" t="s">
        <v>303</v>
      </c>
      <c r="G32" s="32" t="s">
        <v>304</v>
      </c>
      <c r="H32" s="32"/>
      <c r="I32" s="32" t="s">
        <v>260</v>
      </c>
      <c r="J32" s="35" t="s">
        <v>261</v>
      </c>
      <c r="K32" s="37" t="s">
        <v>34</v>
      </c>
      <c r="L32" s="32" t="s">
        <v>271</v>
      </c>
      <c r="M32" s="32" t="s">
        <v>248</v>
      </c>
      <c r="N32" s="32"/>
      <c r="O32" s="32"/>
      <c r="P32" s="32" t="s">
        <v>292</v>
      </c>
      <c r="Q32" s="32" t="s">
        <v>298</v>
      </c>
      <c r="R32" s="32" t="s">
        <v>305</v>
      </c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86"/>
      <c r="AD32" s="86"/>
    </row>
    <row r="33" spans="1:30" ht="105" x14ac:dyDescent="0.2">
      <c r="A33" s="2">
        <v>22</v>
      </c>
      <c r="B33" s="32" t="s">
        <v>257</v>
      </c>
      <c r="C33" s="32" t="s">
        <v>275</v>
      </c>
      <c r="D33" s="32" t="s">
        <v>276</v>
      </c>
      <c r="E33" s="32">
        <v>20</v>
      </c>
      <c r="F33" s="32" t="s">
        <v>277</v>
      </c>
      <c r="G33" s="32" t="s">
        <v>75</v>
      </c>
      <c r="H33" s="32" t="s">
        <v>306</v>
      </c>
      <c r="I33" s="32" t="s">
        <v>266</v>
      </c>
      <c r="J33" s="35" t="s">
        <v>267</v>
      </c>
      <c r="K33" s="37" t="s">
        <v>34</v>
      </c>
      <c r="L33" s="32" t="s">
        <v>271</v>
      </c>
      <c r="M33" s="32" t="s">
        <v>256</v>
      </c>
      <c r="N33" s="32">
        <v>20</v>
      </c>
      <c r="O33" s="32">
        <v>20</v>
      </c>
      <c r="P33" s="32" t="s">
        <v>292</v>
      </c>
      <c r="Q33" s="32" t="s">
        <v>298</v>
      </c>
      <c r="R33" s="32" t="s">
        <v>305</v>
      </c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86"/>
      <c r="AD33" s="86"/>
    </row>
    <row r="34" spans="1:30" ht="105" x14ac:dyDescent="0.2">
      <c r="A34" s="2">
        <v>23</v>
      </c>
      <c r="B34" s="32" t="s">
        <v>247</v>
      </c>
      <c r="C34" s="32" t="s">
        <v>115</v>
      </c>
      <c r="D34" s="32" t="s">
        <v>116</v>
      </c>
      <c r="E34" s="32">
        <v>20</v>
      </c>
      <c r="F34" s="32" t="s">
        <v>308</v>
      </c>
      <c r="G34" s="32" t="s">
        <v>75</v>
      </c>
      <c r="H34" s="32" t="s">
        <v>278</v>
      </c>
      <c r="I34" s="32" t="s">
        <v>296</v>
      </c>
      <c r="J34" s="35" t="s">
        <v>297</v>
      </c>
      <c r="K34" s="37" t="s">
        <v>34</v>
      </c>
      <c r="L34" s="32" t="s">
        <v>271</v>
      </c>
      <c r="M34" s="32" t="s">
        <v>125</v>
      </c>
      <c r="N34" s="32">
        <v>20</v>
      </c>
      <c r="O34" s="32">
        <v>20</v>
      </c>
      <c r="P34" s="32" t="s">
        <v>292</v>
      </c>
      <c r="Q34" s="32" t="s">
        <v>298</v>
      </c>
      <c r="R34" s="32" t="s">
        <v>305</v>
      </c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86"/>
      <c r="AD34" s="86"/>
    </row>
    <row r="35" spans="1:30" ht="105" x14ac:dyDescent="0.2">
      <c r="A35" s="2">
        <v>24</v>
      </c>
      <c r="B35" s="32" t="s">
        <v>16</v>
      </c>
      <c r="C35" s="32" t="s">
        <v>275</v>
      </c>
      <c r="D35" s="32" t="s">
        <v>276</v>
      </c>
      <c r="E35" s="32">
        <v>16</v>
      </c>
      <c r="F35" s="32" t="s">
        <v>310</v>
      </c>
      <c r="G35" s="32" t="s">
        <v>311</v>
      </c>
      <c r="H35" s="32" t="s">
        <v>312</v>
      </c>
      <c r="I35" s="32" t="s">
        <v>17</v>
      </c>
      <c r="J35" s="35" t="s">
        <v>19</v>
      </c>
      <c r="K35" s="37" t="s">
        <v>34</v>
      </c>
      <c r="L35" s="32" t="s">
        <v>271</v>
      </c>
      <c r="M35" s="32" t="s">
        <v>313</v>
      </c>
      <c r="N35" s="32">
        <v>16</v>
      </c>
      <c r="O35" s="32">
        <v>16</v>
      </c>
      <c r="P35" s="32" t="s">
        <v>298</v>
      </c>
      <c r="Q35" s="32" t="s">
        <v>305</v>
      </c>
      <c r="R35" s="32" t="s">
        <v>314</v>
      </c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86"/>
      <c r="AD35" s="86"/>
    </row>
    <row r="36" spans="1:30" ht="90" x14ac:dyDescent="0.2">
      <c r="A36" s="2">
        <v>25</v>
      </c>
      <c r="B36" s="32" t="s">
        <v>243</v>
      </c>
      <c r="C36" s="32" t="s">
        <v>275</v>
      </c>
      <c r="D36" s="32" t="s">
        <v>276</v>
      </c>
      <c r="E36" s="32">
        <v>18</v>
      </c>
      <c r="F36" s="32" t="s">
        <v>315</v>
      </c>
      <c r="G36" s="32" t="s">
        <v>75</v>
      </c>
      <c r="H36" s="32" t="s">
        <v>316</v>
      </c>
      <c r="I36" s="32" t="s">
        <v>238</v>
      </c>
      <c r="J36" s="35" t="s">
        <v>244</v>
      </c>
      <c r="K36" s="37" t="s">
        <v>34</v>
      </c>
      <c r="L36" s="32" t="s">
        <v>271</v>
      </c>
      <c r="M36" s="32" t="s">
        <v>245</v>
      </c>
      <c r="N36" s="32">
        <v>18</v>
      </c>
      <c r="O36" s="32"/>
      <c r="P36" s="32" t="s">
        <v>298</v>
      </c>
      <c r="Q36" s="32" t="s">
        <v>91</v>
      </c>
      <c r="R36" s="32" t="s">
        <v>314</v>
      </c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86"/>
      <c r="AD36" s="86"/>
    </row>
    <row r="37" spans="1:30" ht="75" x14ac:dyDescent="0.2">
      <c r="A37" s="2">
        <v>26</v>
      </c>
      <c r="B37" s="32" t="s">
        <v>237</v>
      </c>
      <c r="C37" s="32" t="s">
        <v>275</v>
      </c>
      <c r="D37" s="32" t="s">
        <v>276</v>
      </c>
      <c r="E37" s="32">
        <v>10</v>
      </c>
      <c r="F37" s="32" t="s">
        <v>293</v>
      </c>
      <c r="G37" s="32" t="s">
        <v>304</v>
      </c>
      <c r="H37" s="32" t="s">
        <v>317</v>
      </c>
      <c r="I37" s="32" t="s">
        <v>238</v>
      </c>
      <c r="J37" s="35" t="s">
        <v>239</v>
      </c>
      <c r="K37" s="37" t="s">
        <v>34</v>
      </c>
      <c r="L37" s="32" t="s">
        <v>271</v>
      </c>
      <c r="M37" s="32" t="s">
        <v>242</v>
      </c>
      <c r="N37" s="32"/>
      <c r="O37" s="32"/>
      <c r="P37" s="32" t="s">
        <v>298</v>
      </c>
      <c r="Q37" s="32" t="s">
        <v>305</v>
      </c>
      <c r="R37" s="32" t="s">
        <v>314</v>
      </c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86"/>
      <c r="AD37" s="86"/>
    </row>
    <row r="38" spans="1:30" ht="90" x14ac:dyDescent="0.2">
      <c r="A38" s="2">
        <v>27</v>
      </c>
      <c r="B38" s="32" t="s">
        <v>70</v>
      </c>
      <c r="C38" s="32" t="s">
        <v>72</v>
      </c>
      <c r="D38" s="32" t="s">
        <v>74</v>
      </c>
      <c r="E38" s="32">
        <v>20</v>
      </c>
      <c r="F38" s="32" t="s">
        <v>322</v>
      </c>
      <c r="G38" s="32" t="s">
        <v>200</v>
      </c>
      <c r="H38" s="32" t="s">
        <v>323</v>
      </c>
      <c r="I38" s="32" t="s">
        <v>58</v>
      </c>
      <c r="J38" s="35" t="s">
        <v>71</v>
      </c>
      <c r="K38" s="37" t="s">
        <v>34</v>
      </c>
      <c r="L38" s="32" t="s">
        <v>271</v>
      </c>
      <c r="M38" s="32" t="s">
        <v>81</v>
      </c>
      <c r="N38" s="32">
        <v>20</v>
      </c>
      <c r="O38" s="32"/>
      <c r="P38" s="32" t="s">
        <v>305</v>
      </c>
      <c r="Q38" s="32" t="s">
        <v>314</v>
      </c>
      <c r="R38" s="32" t="s">
        <v>326</v>
      </c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86"/>
      <c r="AD38" s="86"/>
    </row>
    <row r="39" spans="1:30" ht="75" x14ac:dyDescent="0.2">
      <c r="A39" s="2">
        <v>28</v>
      </c>
      <c r="B39" s="32" t="s">
        <v>89</v>
      </c>
      <c r="C39" s="32" t="s">
        <v>72</v>
      </c>
      <c r="D39" s="32" t="s">
        <v>74</v>
      </c>
      <c r="E39" s="32">
        <v>8</v>
      </c>
      <c r="F39" s="32" t="s">
        <v>327</v>
      </c>
      <c r="G39" s="32" t="s">
        <v>174</v>
      </c>
      <c r="H39" s="32" t="s">
        <v>328</v>
      </c>
      <c r="I39" s="32" t="s">
        <v>95</v>
      </c>
      <c r="J39" s="35" t="s">
        <v>96</v>
      </c>
      <c r="K39" s="37" t="s">
        <v>34</v>
      </c>
      <c r="L39" s="32" t="s">
        <v>271</v>
      </c>
      <c r="M39" s="32" t="s">
        <v>104</v>
      </c>
      <c r="N39" s="32">
        <v>8</v>
      </c>
      <c r="O39" s="32">
        <v>8</v>
      </c>
      <c r="P39" s="32" t="s">
        <v>305</v>
      </c>
      <c r="Q39" s="32" t="s">
        <v>91</v>
      </c>
      <c r="R39" s="32" t="s">
        <v>326</v>
      </c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86"/>
      <c r="AD39" s="86"/>
    </row>
    <row r="40" spans="1:30" ht="75" x14ac:dyDescent="0.2">
      <c r="A40" s="2">
        <v>29</v>
      </c>
      <c r="B40" s="32" t="s">
        <v>105</v>
      </c>
      <c r="C40" s="32" t="s">
        <v>72</v>
      </c>
      <c r="D40" s="32" t="s">
        <v>74</v>
      </c>
      <c r="E40" s="32">
        <v>4</v>
      </c>
      <c r="F40" s="32" t="s">
        <v>327</v>
      </c>
      <c r="G40" s="32" t="s">
        <v>174</v>
      </c>
      <c r="H40" s="32" t="s">
        <v>330</v>
      </c>
      <c r="I40" s="32" t="s">
        <v>95</v>
      </c>
      <c r="J40" s="35" t="s">
        <v>107</v>
      </c>
      <c r="K40" s="37" t="s">
        <v>34</v>
      </c>
      <c r="L40" s="32" t="s">
        <v>271</v>
      </c>
      <c r="M40" s="32" t="s">
        <v>121</v>
      </c>
      <c r="N40" s="32">
        <v>4</v>
      </c>
      <c r="O40" s="32">
        <v>4</v>
      </c>
      <c r="P40" s="32" t="s">
        <v>305</v>
      </c>
      <c r="Q40" s="32" t="s">
        <v>91</v>
      </c>
      <c r="R40" s="32" t="s">
        <v>326</v>
      </c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86"/>
      <c r="AD40" s="86"/>
    </row>
    <row r="41" spans="1:30" ht="75" x14ac:dyDescent="0.2">
      <c r="A41" s="2">
        <v>30</v>
      </c>
      <c r="B41" s="32" t="s">
        <v>124</v>
      </c>
      <c r="C41" s="32" t="s">
        <v>72</v>
      </c>
      <c r="D41" s="32" t="s">
        <v>74</v>
      </c>
      <c r="E41" s="32">
        <v>18</v>
      </c>
      <c r="F41" s="32" t="s">
        <v>117</v>
      </c>
      <c r="G41" s="32" t="s">
        <v>174</v>
      </c>
      <c r="H41" s="32" t="s">
        <v>334</v>
      </c>
      <c r="I41" s="32" t="s">
        <v>95</v>
      </c>
      <c r="J41" s="35" t="s">
        <v>126</v>
      </c>
      <c r="K41" s="37" t="s">
        <v>34</v>
      </c>
      <c r="L41" s="32" t="s">
        <v>271</v>
      </c>
      <c r="M41" s="32" t="s">
        <v>133</v>
      </c>
      <c r="N41" s="32">
        <v>18</v>
      </c>
      <c r="O41" s="32">
        <v>18</v>
      </c>
      <c r="P41" s="32" t="s">
        <v>314</v>
      </c>
      <c r="Q41" s="32" t="s">
        <v>91</v>
      </c>
      <c r="R41" s="32" t="s">
        <v>337</v>
      </c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86"/>
      <c r="AD41" s="86"/>
    </row>
    <row r="42" spans="1:30" ht="75" x14ac:dyDescent="0.2">
      <c r="A42" s="2">
        <v>31</v>
      </c>
      <c r="B42" s="32" t="s">
        <v>144</v>
      </c>
      <c r="C42" s="32" t="s">
        <v>72</v>
      </c>
      <c r="D42" s="32" t="s">
        <v>74</v>
      </c>
      <c r="E42" s="32">
        <v>4</v>
      </c>
      <c r="F42" s="32" t="s">
        <v>277</v>
      </c>
      <c r="G42" s="32" t="s">
        <v>174</v>
      </c>
      <c r="H42" s="32" t="s">
        <v>338</v>
      </c>
      <c r="I42" s="32" t="s">
        <v>145</v>
      </c>
      <c r="J42" s="35" t="s">
        <v>146</v>
      </c>
      <c r="K42" s="37" t="s">
        <v>34</v>
      </c>
      <c r="L42" s="32" t="s">
        <v>271</v>
      </c>
      <c r="M42" s="32" t="s">
        <v>155</v>
      </c>
      <c r="N42" s="32">
        <v>2</v>
      </c>
      <c r="O42" s="32">
        <v>4</v>
      </c>
      <c r="P42" s="32" t="s">
        <v>314</v>
      </c>
      <c r="Q42" s="32" t="s">
        <v>91</v>
      </c>
      <c r="R42" s="32" t="s">
        <v>337</v>
      </c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86"/>
      <c r="AD42" s="86"/>
    </row>
    <row r="43" spans="1:30" ht="105" x14ac:dyDescent="0.2">
      <c r="A43" s="2">
        <v>32</v>
      </c>
      <c r="B43" s="32" t="s">
        <v>157</v>
      </c>
      <c r="C43" s="32" t="s">
        <v>72</v>
      </c>
      <c r="D43" s="32" t="s">
        <v>74</v>
      </c>
      <c r="E43" s="32">
        <v>2</v>
      </c>
      <c r="F43" s="32" t="s">
        <v>339</v>
      </c>
      <c r="G43" s="32" t="s">
        <v>174</v>
      </c>
      <c r="H43" s="32" t="s">
        <v>340</v>
      </c>
      <c r="I43" s="32" t="s">
        <v>95</v>
      </c>
      <c r="J43" s="35" t="s">
        <v>158</v>
      </c>
      <c r="K43" s="37" t="s">
        <v>34</v>
      </c>
      <c r="L43" s="32" t="s">
        <v>271</v>
      </c>
      <c r="M43" s="32" t="s">
        <v>160</v>
      </c>
      <c r="N43" s="32">
        <v>2</v>
      </c>
      <c r="O43" s="32">
        <v>2</v>
      </c>
      <c r="P43" s="32" t="s">
        <v>314</v>
      </c>
      <c r="Q43" s="32" t="s">
        <v>91</v>
      </c>
      <c r="R43" s="32" t="s">
        <v>337</v>
      </c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86"/>
      <c r="AD43" s="86"/>
    </row>
    <row r="44" spans="1:30" ht="105" x14ac:dyDescent="0.2">
      <c r="A44" s="2">
        <v>33</v>
      </c>
      <c r="B44" s="32" t="s">
        <v>199</v>
      </c>
      <c r="C44" s="32" t="s">
        <v>196</v>
      </c>
      <c r="D44" s="32" t="s">
        <v>197</v>
      </c>
      <c r="E44" s="32">
        <v>18</v>
      </c>
      <c r="F44" s="32" t="s">
        <v>342</v>
      </c>
      <c r="G44" s="32" t="s">
        <v>118</v>
      </c>
      <c r="H44" s="32" t="s">
        <v>343</v>
      </c>
      <c r="I44" s="32" t="s">
        <v>202</v>
      </c>
      <c r="J44" s="35" t="s">
        <v>205</v>
      </c>
      <c r="K44" s="37" t="s">
        <v>34</v>
      </c>
      <c r="L44" s="32" t="s">
        <v>271</v>
      </c>
      <c r="M44" s="32" t="s">
        <v>207</v>
      </c>
      <c r="N44" s="32">
        <v>18</v>
      </c>
      <c r="O44" s="32">
        <v>18</v>
      </c>
      <c r="P44" s="32" t="s">
        <v>345</v>
      </c>
      <c r="Q44" s="32" t="s">
        <v>346</v>
      </c>
      <c r="R44" s="32" t="s">
        <v>347</v>
      </c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86"/>
      <c r="AD44" s="86"/>
    </row>
    <row r="45" spans="1:30" ht="105" x14ac:dyDescent="0.2">
      <c r="A45" s="2">
        <v>34</v>
      </c>
      <c r="B45" s="32" t="s">
        <v>208</v>
      </c>
      <c r="C45" s="32" t="s">
        <v>196</v>
      </c>
      <c r="D45" s="32" t="s">
        <v>197</v>
      </c>
      <c r="E45" s="32">
        <v>20</v>
      </c>
      <c r="F45" s="32" t="s">
        <v>310</v>
      </c>
      <c r="G45" s="32" t="s">
        <v>118</v>
      </c>
      <c r="H45" s="32" t="s">
        <v>278</v>
      </c>
      <c r="I45" s="32" t="s">
        <v>202</v>
      </c>
      <c r="J45" s="35" t="s">
        <v>210</v>
      </c>
      <c r="K45" s="37" t="s">
        <v>34</v>
      </c>
      <c r="L45" s="32" t="s">
        <v>271</v>
      </c>
      <c r="M45" s="32" t="s">
        <v>125</v>
      </c>
      <c r="N45" s="32">
        <v>20</v>
      </c>
      <c r="O45" s="32">
        <v>20</v>
      </c>
      <c r="P45" s="32" t="s">
        <v>345</v>
      </c>
      <c r="Q45" s="32" t="s">
        <v>346</v>
      </c>
      <c r="R45" s="32" t="s">
        <v>347</v>
      </c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86"/>
      <c r="AD45" s="86"/>
    </row>
    <row r="46" spans="1:30" ht="120" x14ac:dyDescent="0.2">
      <c r="A46" s="2">
        <v>35</v>
      </c>
      <c r="B46" s="32" t="s">
        <v>213</v>
      </c>
      <c r="C46" s="32" t="s">
        <v>196</v>
      </c>
      <c r="D46" s="32" t="s">
        <v>197</v>
      </c>
      <c r="E46" s="32">
        <v>20</v>
      </c>
      <c r="F46" s="32" t="s">
        <v>351</v>
      </c>
      <c r="G46" s="32" t="s">
        <v>75</v>
      </c>
      <c r="H46" s="32" t="s">
        <v>352</v>
      </c>
      <c r="I46" s="32" t="s">
        <v>202</v>
      </c>
      <c r="J46" s="35" t="s">
        <v>214</v>
      </c>
      <c r="K46" s="37" t="s">
        <v>34</v>
      </c>
      <c r="L46" s="32" t="s">
        <v>271</v>
      </c>
      <c r="M46" s="32" t="s">
        <v>125</v>
      </c>
      <c r="N46" s="32">
        <v>20</v>
      </c>
      <c r="O46" s="32">
        <v>20</v>
      </c>
      <c r="P46" s="32" t="s">
        <v>345</v>
      </c>
      <c r="Q46" s="32" t="s">
        <v>346</v>
      </c>
      <c r="R46" s="32" t="s">
        <v>347</v>
      </c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86"/>
      <c r="AD46" s="86"/>
    </row>
    <row r="47" spans="1:30" ht="75" x14ac:dyDescent="0.2">
      <c r="A47" s="2">
        <v>36</v>
      </c>
      <c r="B47" s="32" t="s">
        <v>24</v>
      </c>
      <c r="C47" s="32" t="s">
        <v>72</v>
      </c>
      <c r="D47" s="32" t="s">
        <v>74</v>
      </c>
      <c r="E47" s="32">
        <v>20</v>
      </c>
      <c r="F47" s="32" t="s">
        <v>358</v>
      </c>
      <c r="G47" s="32" t="s">
        <v>360</v>
      </c>
      <c r="H47" s="32" t="s">
        <v>362</v>
      </c>
      <c r="I47" s="32" t="s">
        <v>25</v>
      </c>
      <c r="J47" s="35" t="s">
        <v>26</v>
      </c>
      <c r="K47" s="37" t="s">
        <v>34</v>
      </c>
      <c r="L47" s="32" t="s">
        <v>271</v>
      </c>
      <c r="M47" s="32" t="s">
        <v>43</v>
      </c>
      <c r="N47" s="32">
        <v>10</v>
      </c>
      <c r="O47" s="32"/>
      <c r="P47" s="32" t="s">
        <v>346</v>
      </c>
      <c r="Q47" s="32" t="s">
        <v>91</v>
      </c>
      <c r="R47" s="32" t="s">
        <v>370</v>
      </c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86"/>
      <c r="AD47" s="86"/>
    </row>
    <row r="48" spans="1:30" ht="75" x14ac:dyDescent="0.2">
      <c r="A48" s="2">
        <v>37</v>
      </c>
      <c r="B48" s="32" t="s">
        <v>290</v>
      </c>
      <c r="C48" s="32" t="s">
        <v>115</v>
      </c>
      <c r="D48" s="32" t="s">
        <v>116</v>
      </c>
      <c r="E48" s="32">
        <v>20</v>
      </c>
      <c r="F48" s="32" t="s">
        <v>372</v>
      </c>
      <c r="G48" s="32" t="s">
        <v>151</v>
      </c>
      <c r="H48" s="32" t="s">
        <v>152</v>
      </c>
      <c r="I48" s="32" t="s">
        <v>153</v>
      </c>
      <c r="J48" s="35" t="s">
        <v>291</v>
      </c>
      <c r="K48" s="37" t="s">
        <v>34</v>
      </c>
      <c r="L48" s="32" t="s">
        <v>271</v>
      </c>
      <c r="M48" s="32" t="s">
        <v>246</v>
      </c>
      <c r="N48" s="32">
        <v>20</v>
      </c>
      <c r="O48" s="32"/>
      <c r="P48" s="32" t="s">
        <v>347</v>
      </c>
      <c r="Q48" s="32" t="s">
        <v>91</v>
      </c>
      <c r="R48" s="32" t="s">
        <v>378</v>
      </c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86"/>
      <c r="AD48" s="86"/>
    </row>
    <row r="49" spans="1:30" ht="105" x14ac:dyDescent="0.2">
      <c r="A49" s="2">
        <v>38</v>
      </c>
      <c r="B49" s="32" t="s">
        <v>167</v>
      </c>
      <c r="C49" s="32" t="s">
        <v>196</v>
      </c>
      <c r="D49" s="32" t="s">
        <v>197</v>
      </c>
      <c r="E49" s="32">
        <v>12</v>
      </c>
      <c r="F49" s="32" t="s">
        <v>380</v>
      </c>
      <c r="G49" s="32" t="s">
        <v>381</v>
      </c>
      <c r="H49" s="32" t="s">
        <v>382</v>
      </c>
      <c r="I49" s="32" t="s">
        <v>168</v>
      </c>
      <c r="J49" s="35" t="s">
        <v>169</v>
      </c>
      <c r="K49" s="37" t="s">
        <v>34</v>
      </c>
      <c r="L49" s="32" t="s">
        <v>271</v>
      </c>
      <c r="M49" s="32" t="s">
        <v>176</v>
      </c>
      <c r="N49" s="32">
        <v>12</v>
      </c>
      <c r="O49" s="32">
        <v>12</v>
      </c>
      <c r="P49" s="32" t="s">
        <v>370</v>
      </c>
      <c r="Q49" s="32" t="s">
        <v>378</v>
      </c>
      <c r="R49" s="32" t="s">
        <v>400</v>
      </c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86"/>
      <c r="AD49" s="86"/>
    </row>
    <row r="50" spans="1:30" ht="105" x14ac:dyDescent="0.2">
      <c r="A50" s="2">
        <v>39</v>
      </c>
      <c r="B50" s="32" t="s">
        <v>253</v>
      </c>
      <c r="C50" s="32" t="s">
        <v>115</v>
      </c>
      <c r="D50" s="32" t="s">
        <v>116</v>
      </c>
      <c r="E50" s="32">
        <v>2</v>
      </c>
      <c r="F50" s="32" t="s">
        <v>310</v>
      </c>
      <c r="G50" s="32" t="s">
        <v>174</v>
      </c>
      <c r="H50" s="32" t="s">
        <v>405</v>
      </c>
      <c r="I50" s="32" t="s">
        <v>163</v>
      </c>
      <c r="J50" s="35" t="s">
        <v>307</v>
      </c>
      <c r="K50" s="37" t="s">
        <v>34</v>
      </c>
      <c r="L50" s="32" t="s">
        <v>271</v>
      </c>
      <c r="M50" s="32" t="s">
        <v>252</v>
      </c>
      <c r="N50" s="32">
        <v>2</v>
      </c>
      <c r="O50" s="32">
        <v>2</v>
      </c>
      <c r="P50" s="32" t="s">
        <v>378</v>
      </c>
      <c r="Q50" s="32" t="s">
        <v>400</v>
      </c>
      <c r="R50" s="32" t="s">
        <v>407</v>
      </c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86"/>
      <c r="AD50" s="86"/>
    </row>
    <row r="51" spans="1:30" ht="90" x14ac:dyDescent="0.2">
      <c r="A51" s="2">
        <v>40</v>
      </c>
      <c r="B51" s="32" t="s">
        <v>191</v>
      </c>
      <c r="C51" s="32" t="s">
        <v>72</v>
      </c>
      <c r="D51" s="32" t="s">
        <v>74</v>
      </c>
      <c r="E51" s="32">
        <v>12</v>
      </c>
      <c r="F51" s="32"/>
      <c r="G51" s="32" t="s">
        <v>75</v>
      </c>
      <c r="H51" s="32" t="s">
        <v>408</v>
      </c>
      <c r="I51" s="32" t="s">
        <v>193</v>
      </c>
      <c r="J51" s="35" t="s">
        <v>194</v>
      </c>
      <c r="K51" s="37" t="s">
        <v>34</v>
      </c>
      <c r="L51" s="32" t="s">
        <v>271</v>
      </c>
      <c r="M51" s="32" t="s">
        <v>206</v>
      </c>
      <c r="N51" s="32">
        <v>4</v>
      </c>
      <c r="O51" s="32">
        <v>1</v>
      </c>
      <c r="P51" s="32" t="s">
        <v>400</v>
      </c>
      <c r="Q51" s="32" t="s">
        <v>91</v>
      </c>
      <c r="R51" s="32" t="s">
        <v>409</v>
      </c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86"/>
      <c r="AD51" s="86"/>
    </row>
    <row r="52" spans="1:30" ht="105" x14ac:dyDescent="0.2">
      <c r="A52" s="2">
        <v>41</v>
      </c>
      <c r="B52" s="32" t="s">
        <v>331</v>
      </c>
      <c r="C52" s="32" t="s">
        <v>344</v>
      </c>
      <c r="D52" s="32" t="s">
        <v>411</v>
      </c>
      <c r="E52" s="32">
        <v>16</v>
      </c>
      <c r="F52" s="32" t="s">
        <v>299</v>
      </c>
      <c r="G52" s="32" t="s">
        <v>174</v>
      </c>
      <c r="H52" s="32" t="s">
        <v>412</v>
      </c>
      <c r="I52" s="32" t="s">
        <v>332</v>
      </c>
      <c r="J52" s="35" t="s">
        <v>333</v>
      </c>
      <c r="K52" s="37" t="s">
        <v>34</v>
      </c>
      <c r="L52" s="32" t="s">
        <v>271</v>
      </c>
      <c r="M52" s="32" t="s">
        <v>254</v>
      </c>
      <c r="N52" s="32">
        <v>16</v>
      </c>
      <c r="O52" s="32">
        <v>7</v>
      </c>
      <c r="P52" s="32" t="s">
        <v>407</v>
      </c>
      <c r="Q52" s="32" t="s">
        <v>91</v>
      </c>
      <c r="R52" s="32" t="s">
        <v>419</v>
      </c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86"/>
      <c r="AD52" s="86"/>
    </row>
    <row r="53" spans="1:30" ht="120" x14ac:dyDescent="0.2">
      <c r="A53" s="2">
        <v>42</v>
      </c>
      <c r="B53" s="32" t="s">
        <v>335</v>
      </c>
      <c r="C53" s="32" t="s">
        <v>344</v>
      </c>
      <c r="D53" s="32" t="s">
        <v>411</v>
      </c>
      <c r="E53" s="32">
        <v>2</v>
      </c>
      <c r="F53" s="32" t="s">
        <v>420</v>
      </c>
      <c r="G53" s="32" t="s">
        <v>174</v>
      </c>
      <c r="H53" s="32" t="s">
        <v>421</v>
      </c>
      <c r="I53" s="32" t="s">
        <v>332</v>
      </c>
      <c r="J53" s="35" t="s">
        <v>336</v>
      </c>
      <c r="K53" s="37" t="s">
        <v>34</v>
      </c>
      <c r="L53" s="32" t="s">
        <v>271</v>
      </c>
      <c r="M53" s="32" t="s">
        <v>255</v>
      </c>
      <c r="N53" s="32">
        <v>2</v>
      </c>
      <c r="O53" s="32">
        <v>2</v>
      </c>
      <c r="P53" s="32" t="s">
        <v>409</v>
      </c>
      <c r="Q53" s="32" t="s">
        <v>419</v>
      </c>
      <c r="R53" s="32" t="s">
        <v>424</v>
      </c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86"/>
      <c r="AD53" s="86"/>
    </row>
    <row r="54" spans="1:30" ht="105" x14ac:dyDescent="0.2">
      <c r="A54" s="2">
        <v>43</v>
      </c>
      <c r="B54" s="78" t="s">
        <v>181</v>
      </c>
      <c r="C54" s="78" t="s">
        <v>275</v>
      </c>
      <c r="D54" s="78" t="s">
        <v>276</v>
      </c>
      <c r="E54" s="78">
        <v>16</v>
      </c>
      <c r="F54" s="78" t="s">
        <v>425</v>
      </c>
      <c r="G54" s="78" t="s">
        <v>426</v>
      </c>
      <c r="H54" s="78" t="s">
        <v>427</v>
      </c>
      <c r="I54" s="78" t="s">
        <v>182</v>
      </c>
      <c r="J54" s="166" t="s">
        <v>183</v>
      </c>
      <c r="K54" s="167" t="s">
        <v>34</v>
      </c>
      <c r="L54" s="78" t="s">
        <v>429</v>
      </c>
      <c r="M54" s="78" t="s">
        <v>188</v>
      </c>
      <c r="N54" s="78"/>
      <c r="O54" s="78"/>
      <c r="P54" s="32" t="s">
        <v>419</v>
      </c>
      <c r="Q54" s="32" t="s">
        <v>91</v>
      </c>
      <c r="R54" s="32" t="s">
        <v>430</v>
      </c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86"/>
      <c r="AD54" s="86"/>
    </row>
    <row r="55" spans="1:30" ht="90" x14ac:dyDescent="0.2">
      <c r="A55" s="168">
        <v>44</v>
      </c>
      <c r="B55" s="78" t="s">
        <v>131</v>
      </c>
      <c r="C55" s="78" t="s">
        <v>275</v>
      </c>
      <c r="D55" s="78" t="s">
        <v>276</v>
      </c>
      <c r="E55" s="78">
        <v>20</v>
      </c>
      <c r="F55" s="78" t="s">
        <v>431</v>
      </c>
      <c r="G55" s="78" t="s">
        <v>432</v>
      </c>
      <c r="H55" s="78" t="s">
        <v>306</v>
      </c>
      <c r="I55" s="78" t="s">
        <v>112</v>
      </c>
      <c r="J55" s="166" t="s">
        <v>132</v>
      </c>
      <c r="K55" s="167" t="s">
        <v>34</v>
      </c>
      <c r="L55" s="78" t="s">
        <v>429</v>
      </c>
      <c r="M55" s="32" t="s">
        <v>142</v>
      </c>
      <c r="N55" s="32">
        <v>20</v>
      </c>
      <c r="O55" s="32">
        <v>20</v>
      </c>
      <c r="P55" s="32" t="s">
        <v>424</v>
      </c>
      <c r="Q55" s="32" t="s">
        <v>91</v>
      </c>
      <c r="R55" s="32" t="s">
        <v>433</v>
      </c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86"/>
      <c r="AD55" s="86"/>
    </row>
    <row r="56" spans="1:30" ht="75" x14ac:dyDescent="0.2">
      <c r="A56" s="168">
        <v>45</v>
      </c>
      <c r="B56" s="78" t="s">
        <v>301</v>
      </c>
      <c r="C56" s="78" t="s">
        <v>115</v>
      </c>
      <c r="D56" s="78" t="s">
        <v>116</v>
      </c>
      <c r="E56" s="78">
        <v>12</v>
      </c>
      <c r="F56" s="78" t="s">
        <v>434</v>
      </c>
      <c r="G56" s="78" t="s">
        <v>137</v>
      </c>
      <c r="H56" s="78"/>
      <c r="I56" s="78" t="s">
        <v>163</v>
      </c>
      <c r="J56" s="166" t="s">
        <v>302</v>
      </c>
      <c r="K56" s="167" t="s">
        <v>34</v>
      </c>
      <c r="L56" s="78" t="s">
        <v>429</v>
      </c>
      <c r="M56" s="78" t="s">
        <v>251</v>
      </c>
      <c r="N56" s="78"/>
      <c r="O56" s="78"/>
      <c r="P56" s="32" t="s">
        <v>430</v>
      </c>
      <c r="Q56" s="32" t="s">
        <v>91</v>
      </c>
      <c r="R56" s="32" t="s">
        <v>435</v>
      </c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86"/>
      <c r="AD56" s="86"/>
    </row>
  </sheetData>
  <mergeCells count="11">
    <mergeCell ref="U17:V17"/>
    <mergeCell ref="A20:M20"/>
    <mergeCell ref="A21:M21"/>
    <mergeCell ref="S22:U22"/>
    <mergeCell ref="B1:H1"/>
    <mergeCell ref="S1:AC1"/>
    <mergeCell ref="S2:V2"/>
    <mergeCell ref="W2:Y2"/>
    <mergeCell ref="Z2:AC2"/>
    <mergeCell ref="X17:Y17"/>
    <mergeCell ref="AB17:AC17"/>
  </mergeCells>
  <conditionalFormatting sqref="A4:R56">
    <cfRule type="expression" dxfId="29" priority="1">
      <formula>$L4="Primera Fase"</formula>
    </cfRule>
    <cfRule type="expression" dxfId="28" priority="2">
      <formula>$L4="Segunda Fase"</formula>
    </cfRule>
    <cfRule type="expression" dxfId="27" priority="3">
      <formula>$L4="Conflicto de Turno"</formula>
    </cfRule>
  </conditionalFormatting>
  <hyperlinks>
    <hyperlink ref="J4" r:id="rId1" xr:uid="{00000000-0004-0000-0000-000000000000}"/>
    <hyperlink ref="K4" r:id="rId2" xr:uid="{00000000-0004-0000-0000-000001000000}"/>
    <hyperlink ref="S4" r:id="rId3" xr:uid="{00000000-0004-0000-0000-000002000000}"/>
    <hyperlink ref="W4" r:id="rId4" xr:uid="{00000000-0004-0000-0000-000003000000}"/>
    <hyperlink ref="J5" r:id="rId5" xr:uid="{00000000-0004-0000-0000-000004000000}"/>
    <hyperlink ref="K5" r:id="rId6" xr:uid="{00000000-0004-0000-0000-000005000000}"/>
    <hyperlink ref="S5" r:id="rId7" xr:uid="{00000000-0004-0000-0000-000006000000}"/>
    <hyperlink ref="W5" r:id="rId8" xr:uid="{00000000-0004-0000-0000-000007000000}"/>
    <hyperlink ref="J6" r:id="rId9" xr:uid="{00000000-0004-0000-0000-000008000000}"/>
    <hyperlink ref="K6" r:id="rId10" xr:uid="{00000000-0004-0000-0000-000009000000}"/>
    <hyperlink ref="S6" r:id="rId11" xr:uid="{00000000-0004-0000-0000-00000A000000}"/>
    <hyperlink ref="W6" r:id="rId12" xr:uid="{00000000-0004-0000-0000-00000B000000}"/>
    <hyperlink ref="J7" r:id="rId13" xr:uid="{00000000-0004-0000-0000-00000C000000}"/>
    <hyperlink ref="K7" r:id="rId14" xr:uid="{00000000-0004-0000-0000-00000D000000}"/>
    <hyperlink ref="S7" r:id="rId15" xr:uid="{00000000-0004-0000-0000-00000E000000}"/>
    <hyperlink ref="W7" r:id="rId16" xr:uid="{00000000-0004-0000-0000-00000F000000}"/>
    <hyperlink ref="J8" r:id="rId17" xr:uid="{00000000-0004-0000-0000-000010000000}"/>
    <hyperlink ref="K8" r:id="rId18" xr:uid="{00000000-0004-0000-0000-000011000000}"/>
    <hyperlink ref="S8" r:id="rId19" xr:uid="{00000000-0004-0000-0000-000012000000}"/>
    <hyperlink ref="W8" r:id="rId20" xr:uid="{00000000-0004-0000-0000-000013000000}"/>
    <hyperlink ref="J9" r:id="rId21" xr:uid="{00000000-0004-0000-0000-000014000000}"/>
    <hyperlink ref="K9" r:id="rId22" xr:uid="{00000000-0004-0000-0000-000015000000}"/>
    <hyperlink ref="S9" r:id="rId23" xr:uid="{00000000-0004-0000-0000-000016000000}"/>
    <hyperlink ref="W9" r:id="rId24" xr:uid="{00000000-0004-0000-0000-000017000000}"/>
    <hyperlink ref="J10" r:id="rId25" xr:uid="{00000000-0004-0000-0000-000018000000}"/>
    <hyperlink ref="K10" r:id="rId26" xr:uid="{00000000-0004-0000-0000-000019000000}"/>
    <hyperlink ref="S10" r:id="rId27" xr:uid="{00000000-0004-0000-0000-00001A000000}"/>
    <hyperlink ref="W10" r:id="rId28" xr:uid="{00000000-0004-0000-0000-00001B000000}"/>
    <hyperlink ref="J11" r:id="rId29" xr:uid="{00000000-0004-0000-0000-00001C000000}"/>
    <hyperlink ref="K11" r:id="rId30" xr:uid="{00000000-0004-0000-0000-00001D000000}"/>
    <hyperlink ref="S11" r:id="rId31" xr:uid="{00000000-0004-0000-0000-00001E000000}"/>
    <hyperlink ref="W11" r:id="rId32" xr:uid="{00000000-0004-0000-0000-00001F000000}"/>
    <hyperlink ref="J12" r:id="rId33" xr:uid="{00000000-0004-0000-0000-000020000000}"/>
    <hyperlink ref="K12" r:id="rId34" xr:uid="{00000000-0004-0000-0000-000021000000}"/>
    <hyperlink ref="S12" r:id="rId35" xr:uid="{00000000-0004-0000-0000-000022000000}"/>
    <hyperlink ref="W12" r:id="rId36" xr:uid="{00000000-0004-0000-0000-000023000000}"/>
    <hyperlink ref="J13" r:id="rId37" xr:uid="{00000000-0004-0000-0000-000024000000}"/>
    <hyperlink ref="K13" r:id="rId38" xr:uid="{00000000-0004-0000-0000-000025000000}"/>
    <hyperlink ref="S13" r:id="rId39" xr:uid="{00000000-0004-0000-0000-000026000000}"/>
    <hyperlink ref="W13" r:id="rId40" xr:uid="{00000000-0004-0000-0000-000027000000}"/>
    <hyperlink ref="J14" r:id="rId41" xr:uid="{00000000-0004-0000-0000-000028000000}"/>
    <hyperlink ref="K14" r:id="rId42" xr:uid="{00000000-0004-0000-0000-000029000000}"/>
    <hyperlink ref="S14" r:id="rId43" xr:uid="{00000000-0004-0000-0000-00002A000000}"/>
    <hyperlink ref="W14" r:id="rId44" xr:uid="{00000000-0004-0000-0000-00002B000000}"/>
    <hyperlink ref="J15" r:id="rId45" xr:uid="{00000000-0004-0000-0000-00002C000000}"/>
    <hyperlink ref="K15" r:id="rId46" xr:uid="{00000000-0004-0000-0000-00002D000000}"/>
    <hyperlink ref="S15" r:id="rId47" xr:uid="{00000000-0004-0000-0000-00002E000000}"/>
    <hyperlink ref="W15" r:id="rId48" xr:uid="{00000000-0004-0000-0000-00002F000000}"/>
    <hyperlink ref="J24" r:id="rId49" xr:uid="{00000000-0004-0000-0000-000030000000}"/>
    <hyperlink ref="K24" r:id="rId50" xr:uid="{00000000-0004-0000-0000-000031000000}"/>
    <hyperlink ref="J25" r:id="rId51" xr:uid="{00000000-0004-0000-0000-000032000000}"/>
    <hyperlink ref="K25" r:id="rId52" xr:uid="{00000000-0004-0000-0000-000033000000}"/>
    <hyperlink ref="J26" r:id="rId53" xr:uid="{00000000-0004-0000-0000-000034000000}"/>
    <hyperlink ref="K26" r:id="rId54" xr:uid="{00000000-0004-0000-0000-000035000000}"/>
    <hyperlink ref="J27" r:id="rId55" xr:uid="{00000000-0004-0000-0000-000036000000}"/>
    <hyperlink ref="K27" r:id="rId56" xr:uid="{00000000-0004-0000-0000-000037000000}"/>
    <hyperlink ref="J28" r:id="rId57" xr:uid="{00000000-0004-0000-0000-000038000000}"/>
    <hyperlink ref="K28" r:id="rId58" xr:uid="{00000000-0004-0000-0000-000039000000}"/>
    <hyperlink ref="J29" r:id="rId59" xr:uid="{00000000-0004-0000-0000-00003A000000}"/>
    <hyperlink ref="K29" r:id="rId60" xr:uid="{00000000-0004-0000-0000-00003B000000}"/>
    <hyperlink ref="J30" r:id="rId61" xr:uid="{00000000-0004-0000-0000-00003C000000}"/>
    <hyperlink ref="K30" r:id="rId62" xr:uid="{00000000-0004-0000-0000-00003D000000}"/>
    <hyperlink ref="J31" r:id="rId63" xr:uid="{00000000-0004-0000-0000-00003E000000}"/>
    <hyperlink ref="K31" r:id="rId64" xr:uid="{00000000-0004-0000-0000-00003F000000}"/>
    <hyperlink ref="J32" r:id="rId65" xr:uid="{00000000-0004-0000-0000-000040000000}"/>
    <hyperlink ref="K32" r:id="rId66" xr:uid="{00000000-0004-0000-0000-000041000000}"/>
    <hyperlink ref="J33" r:id="rId67" xr:uid="{00000000-0004-0000-0000-000042000000}"/>
    <hyperlink ref="K33" r:id="rId68" xr:uid="{00000000-0004-0000-0000-000043000000}"/>
    <hyperlink ref="J34" r:id="rId69" xr:uid="{00000000-0004-0000-0000-000044000000}"/>
    <hyperlink ref="K34" r:id="rId70" xr:uid="{00000000-0004-0000-0000-000045000000}"/>
    <hyperlink ref="J35" r:id="rId71" xr:uid="{00000000-0004-0000-0000-000046000000}"/>
    <hyperlink ref="K35" r:id="rId72" xr:uid="{00000000-0004-0000-0000-000047000000}"/>
    <hyperlink ref="J36" r:id="rId73" xr:uid="{00000000-0004-0000-0000-000048000000}"/>
    <hyperlink ref="K36" r:id="rId74" xr:uid="{00000000-0004-0000-0000-000049000000}"/>
    <hyperlink ref="J37" r:id="rId75" xr:uid="{00000000-0004-0000-0000-00004A000000}"/>
    <hyperlink ref="K37" r:id="rId76" xr:uid="{00000000-0004-0000-0000-00004B000000}"/>
    <hyperlink ref="J38" r:id="rId77" xr:uid="{00000000-0004-0000-0000-00004C000000}"/>
    <hyperlink ref="K38" r:id="rId78" xr:uid="{00000000-0004-0000-0000-00004D000000}"/>
    <hyperlink ref="J39" r:id="rId79" xr:uid="{00000000-0004-0000-0000-00004E000000}"/>
    <hyperlink ref="K39" r:id="rId80" xr:uid="{00000000-0004-0000-0000-00004F000000}"/>
    <hyperlink ref="J40" r:id="rId81" xr:uid="{00000000-0004-0000-0000-000050000000}"/>
    <hyperlink ref="K40" r:id="rId82" xr:uid="{00000000-0004-0000-0000-000051000000}"/>
    <hyperlink ref="J41" r:id="rId83" xr:uid="{00000000-0004-0000-0000-000052000000}"/>
    <hyperlink ref="K41" r:id="rId84" xr:uid="{00000000-0004-0000-0000-000053000000}"/>
    <hyperlink ref="J42" r:id="rId85" xr:uid="{00000000-0004-0000-0000-000054000000}"/>
    <hyperlink ref="K42" r:id="rId86" xr:uid="{00000000-0004-0000-0000-000055000000}"/>
    <hyperlink ref="J43" r:id="rId87" xr:uid="{00000000-0004-0000-0000-000056000000}"/>
    <hyperlink ref="K43" r:id="rId88" xr:uid="{00000000-0004-0000-0000-000057000000}"/>
    <hyperlink ref="J44" r:id="rId89" xr:uid="{00000000-0004-0000-0000-000058000000}"/>
    <hyperlink ref="K44" r:id="rId90" xr:uid="{00000000-0004-0000-0000-000059000000}"/>
    <hyperlink ref="J45" r:id="rId91" xr:uid="{00000000-0004-0000-0000-00005A000000}"/>
    <hyperlink ref="K45" r:id="rId92" xr:uid="{00000000-0004-0000-0000-00005B000000}"/>
    <hyperlink ref="J46" r:id="rId93" xr:uid="{00000000-0004-0000-0000-00005C000000}"/>
    <hyperlink ref="K46" r:id="rId94" xr:uid="{00000000-0004-0000-0000-00005D000000}"/>
    <hyperlink ref="J47" r:id="rId95" xr:uid="{00000000-0004-0000-0000-00005E000000}"/>
    <hyperlink ref="K47" r:id="rId96" xr:uid="{00000000-0004-0000-0000-00005F000000}"/>
    <hyperlink ref="J48" r:id="rId97" xr:uid="{00000000-0004-0000-0000-000060000000}"/>
    <hyperlink ref="K48" r:id="rId98" xr:uid="{00000000-0004-0000-0000-000061000000}"/>
    <hyperlink ref="J49" r:id="rId99" xr:uid="{00000000-0004-0000-0000-000062000000}"/>
    <hyperlink ref="K49" r:id="rId100" xr:uid="{00000000-0004-0000-0000-000063000000}"/>
    <hyperlink ref="J50" r:id="rId101" xr:uid="{00000000-0004-0000-0000-000064000000}"/>
    <hyperlink ref="K50" r:id="rId102" xr:uid="{00000000-0004-0000-0000-000065000000}"/>
    <hyperlink ref="J51" r:id="rId103" xr:uid="{00000000-0004-0000-0000-000066000000}"/>
    <hyperlink ref="K51" r:id="rId104" xr:uid="{00000000-0004-0000-0000-000067000000}"/>
    <hyperlink ref="J52" r:id="rId105" xr:uid="{00000000-0004-0000-0000-000068000000}"/>
    <hyperlink ref="K52" r:id="rId106" xr:uid="{00000000-0004-0000-0000-000069000000}"/>
    <hyperlink ref="J53" r:id="rId107" xr:uid="{00000000-0004-0000-0000-00006A000000}"/>
    <hyperlink ref="K53" r:id="rId108" xr:uid="{00000000-0004-0000-0000-00006B000000}"/>
    <hyperlink ref="J54" r:id="rId109" xr:uid="{00000000-0004-0000-0000-00006C000000}"/>
    <hyperlink ref="K54" r:id="rId110" xr:uid="{00000000-0004-0000-0000-00006D000000}"/>
    <hyperlink ref="J55" r:id="rId111" xr:uid="{00000000-0004-0000-0000-00006E000000}"/>
    <hyperlink ref="K55" r:id="rId112" xr:uid="{00000000-0004-0000-0000-00006F000000}"/>
    <hyperlink ref="J56" r:id="rId113" xr:uid="{00000000-0004-0000-0000-000070000000}"/>
    <hyperlink ref="K56" r:id="rId114" xr:uid="{00000000-0004-0000-0000-00007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7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3.28515625" customWidth="1"/>
    <col min="2" max="2" width="28.42578125" customWidth="1"/>
    <col min="3" max="3" width="16" customWidth="1"/>
    <col min="4" max="5" width="42.85546875" customWidth="1"/>
    <col min="6" max="6" width="21" customWidth="1"/>
    <col min="7" max="7" width="33.140625" customWidth="1"/>
    <col min="8" max="8" width="21.5703125" customWidth="1"/>
    <col min="9" max="9" width="16" customWidth="1"/>
    <col min="10" max="10" width="22.28515625" customWidth="1"/>
    <col min="11" max="11" width="42.5703125" customWidth="1"/>
  </cols>
  <sheetData>
    <row r="1" spans="1:11" ht="67.5" customHeight="1" x14ac:dyDescent="0.2">
      <c r="A1" s="1"/>
      <c r="B1" s="182" t="s">
        <v>0</v>
      </c>
      <c r="C1" s="176"/>
      <c r="D1" s="177"/>
      <c r="E1" s="183" t="s">
        <v>1</v>
      </c>
      <c r="F1" s="174"/>
      <c r="G1" s="174"/>
      <c r="H1" s="174"/>
      <c r="I1" s="174"/>
      <c r="J1" s="174"/>
      <c r="K1" s="174"/>
    </row>
    <row r="2" spans="1:11" ht="67.5" customHeight="1" x14ac:dyDescent="0.2">
      <c r="A2" s="4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 ht="90" x14ac:dyDescent="0.2">
      <c r="A3" s="2">
        <v>1</v>
      </c>
      <c r="B3" s="5">
        <v>46074</v>
      </c>
      <c r="C3" s="6" t="s">
        <v>14</v>
      </c>
      <c r="D3" s="6" t="s">
        <v>15</v>
      </c>
      <c r="E3" s="6" t="s">
        <v>16</v>
      </c>
      <c r="F3" s="6">
        <v>16</v>
      </c>
      <c r="G3" s="6" t="s">
        <v>17</v>
      </c>
      <c r="H3" s="6" t="s">
        <v>18</v>
      </c>
      <c r="I3" s="17" t="s">
        <v>19</v>
      </c>
      <c r="J3" s="24" t="s">
        <v>34</v>
      </c>
      <c r="K3" s="6" t="s">
        <v>44</v>
      </c>
    </row>
    <row r="4" spans="1:11" ht="60" x14ac:dyDescent="0.2">
      <c r="A4" s="184">
        <v>2</v>
      </c>
      <c r="B4" s="187">
        <v>46088</v>
      </c>
      <c r="C4" s="188" t="s">
        <v>47</v>
      </c>
      <c r="D4" s="188" t="s">
        <v>54</v>
      </c>
      <c r="E4" s="25" t="s">
        <v>60</v>
      </c>
      <c r="F4" s="25">
        <v>5</v>
      </c>
      <c r="G4" s="25" t="s">
        <v>65</v>
      </c>
      <c r="H4" s="25" t="s">
        <v>18</v>
      </c>
      <c r="I4" s="28" t="s">
        <v>66</v>
      </c>
      <c r="J4" s="33" t="s">
        <v>34</v>
      </c>
      <c r="K4" s="34" t="s">
        <v>73</v>
      </c>
    </row>
    <row r="5" spans="1:11" ht="60" x14ac:dyDescent="0.2">
      <c r="A5" s="185"/>
      <c r="B5" s="185"/>
      <c r="C5" s="185"/>
      <c r="D5" s="185"/>
      <c r="E5" s="25" t="s">
        <v>78</v>
      </c>
      <c r="F5" s="25">
        <v>20</v>
      </c>
      <c r="G5" s="25" t="s">
        <v>65</v>
      </c>
      <c r="H5" s="25" t="s">
        <v>18</v>
      </c>
      <c r="I5" s="28" t="s">
        <v>79</v>
      </c>
      <c r="J5" s="33" t="s">
        <v>34</v>
      </c>
      <c r="K5" s="34" t="s">
        <v>85</v>
      </c>
    </row>
    <row r="6" spans="1:11" ht="90" x14ac:dyDescent="0.2">
      <c r="A6" s="185"/>
      <c r="B6" s="185"/>
      <c r="C6" s="185"/>
      <c r="D6" s="185"/>
      <c r="E6" s="25" t="s">
        <v>87</v>
      </c>
      <c r="F6" s="25">
        <v>15</v>
      </c>
      <c r="G6" s="25" t="s">
        <v>65</v>
      </c>
      <c r="H6" s="25" t="s">
        <v>18</v>
      </c>
      <c r="I6" s="28" t="s">
        <v>93</v>
      </c>
      <c r="J6" s="33" t="s">
        <v>34</v>
      </c>
      <c r="K6" s="34" t="s">
        <v>100</v>
      </c>
    </row>
    <row r="7" spans="1:11" ht="75" x14ac:dyDescent="0.2">
      <c r="A7" s="186"/>
      <c r="B7" s="186"/>
      <c r="C7" s="186"/>
      <c r="D7" s="186"/>
      <c r="E7" s="25" t="s">
        <v>101</v>
      </c>
      <c r="F7" s="25">
        <v>10</v>
      </c>
      <c r="G7" s="25" t="s">
        <v>65</v>
      </c>
      <c r="H7" s="25" t="s">
        <v>18</v>
      </c>
      <c r="I7" s="28" t="s">
        <v>102</v>
      </c>
      <c r="J7" s="33" t="s">
        <v>34</v>
      </c>
      <c r="K7" s="34" t="s">
        <v>106</v>
      </c>
    </row>
    <row r="8" spans="1:11" ht="90" x14ac:dyDescent="0.2">
      <c r="A8" s="184">
        <v>3</v>
      </c>
      <c r="B8" s="194">
        <v>46116</v>
      </c>
      <c r="C8" s="189" t="s">
        <v>109</v>
      </c>
      <c r="D8" s="189" t="s">
        <v>110</v>
      </c>
      <c r="E8" s="44" t="s">
        <v>111</v>
      </c>
      <c r="F8" s="44">
        <v>20</v>
      </c>
      <c r="G8" s="44" t="s">
        <v>112</v>
      </c>
      <c r="H8" s="44" t="s">
        <v>18</v>
      </c>
      <c r="I8" s="51" t="s">
        <v>113</v>
      </c>
      <c r="J8" s="54" t="s">
        <v>34</v>
      </c>
      <c r="K8" s="44" t="s">
        <v>125</v>
      </c>
    </row>
    <row r="9" spans="1:11" ht="75" x14ac:dyDescent="0.2">
      <c r="A9" s="185"/>
      <c r="B9" s="185"/>
      <c r="C9" s="185"/>
      <c r="D9" s="185"/>
      <c r="E9" s="44" t="s">
        <v>127</v>
      </c>
      <c r="F9" s="44">
        <v>20</v>
      </c>
      <c r="G9" s="44" t="s">
        <v>112</v>
      </c>
      <c r="H9" s="44" t="s">
        <v>18</v>
      </c>
      <c r="I9" s="51" t="s">
        <v>128</v>
      </c>
      <c r="J9" s="54" t="s">
        <v>34</v>
      </c>
      <c r="K9" s="44" t="s">
        <v>130</v>
      </c>
    </row>
    <row r="10" spans="1:11" ht="90" x14ac:dyDescent="0.2">
      <c r="A10" s="186"/>
      <c r="B10" s="186"/>
      <c r="C10" s="186"/>
      <c r="D10" s="186"/>
      <c r="E10" s="44" t="s">
        <v>131</v>
      </c>
      <c r="F10" s="44">
        <v>20</v>
      </c>
      <c r="G10" s="44" t="s">
        <v>112</v>
      </c>
      <c r="H10" s="44" t="s">
        <v>18</v>
      </c>
      <c r="I10" s="51" t="s">
        <v>132</v>
      </c>
      <c r="J10" s="54" t="s">
        <v>34</v>
      </c>
      <c r="K10" s="44" t="s">
        <v>142</v>
      </c>
    </row>
    <row r="11" spans="1:11" ht="60" x14ac:dyDescent="0.2">
      <c r="A11" s="184">
        <v>4</v>
      </c>
      <c r="B11" s="190">
        <v>46130</v>
      </c>
      <c r="C11" s="191" t="s">
        <v>148</v>
      </c>
      <c r="D11" s="191" t="s">
        <v>149</v>
      </c>
      <c r="E11" s="63" t="s">
        <v>83</v>
      </c>
      <c r="F11" s="63">
        <v>20</v>
      </c>
      <c r="G11" s="63" t="s">
        <v>120</v>
      </c>
      <c r="H11" s="63" t="s">
        <v>18</v>
      </c>
      <c r="I11" s="64" t="s">
        <v>122</v>
      </c>
      <c r="J11" s="66" t="s">
        <v>34</v>
      </c>
      <c r="K11" s="63" t="s">
        <v>129</v>
      </c>
    </row>
    <row r="12" spans="1:11" ht="60" x14ac:dyDescent="0.2">
      <c r="A12" s="186"/>
      <c r="B12" s="186"/>
      <c r="C12" s="186"/>
      <c r="D12" s="186"/>
      <c r="E12" s="63" t="s">
        <v>94</v>
      </c>
      <c r="F12" s="63">
        <v>20</v>
      </c>
      <c r="G12" s="63" t="s">
        <v>139</v>
      </c>
      <c r="H12" s="63" t="s">
        <v>18</v>
      </c>
      <c r="I12" s="64" t="s">
        <v>140</v>
      </c>
      <c r="J12" s="66" t="s">
        <v>34</v>
      </c>
      <c r="K12" s="63" t="s">
        <v>129</v>
      </c>
    </row>
    <row r="13" spans="1:11" ht="90" x14ac:dyDescent="0.2">
      <c r="A13" s="2">
        <v>5</v>
      </c>
      <c r="B13" s="68">
        <v>46144</v>
      </c>
      <c r="C13" s="69" t="s">
        <v>165</v>
      </c>
      <c r="D13" s="69" t="s">
        <v>166</v>
      </c>
      <c r="E13" s="69" t="s">
        <v>167</v>
      </c>
      <c r="F13" s="69">
        <v>12</v>
      </c>
      <c r="G13" s="69" t="s">
        <v>168</v>
      </c>
      <c r="H13" s="69" t="s">
        <v>18</v>
      </c>
      <c r="I13" s="70" t="s">
        <v>169</v>
      </c>
      <c r="J13" s="71" t="s">
        <v>34</v>
      </c>
      <c r="K13" s="69" t="s">
        <v>176</v>
      </c>
    </row>
    <row r="14" spans="1:11" ht="60" x14ac:dyDescent="0.2">
      <c r="A14" s="2">
        <v>6</v>
      </c>
      <c r="B14" s="72">
        <v>46158</v>
      </c>
      <c r="C14" s="25" t="s">
        <v>22</v>
      </c>
      <c r="D14" s="25" t="s">
        <v>23</v>
      </c>
      <c r="E14" s="25" t="s">
        <v>24</v>
      </c>
      <c r="F14" s="25">
        <v>20</v>
      </c>
      <c r="G14" s="25" t="s">
        <v>25</v>
      </c>
      <c r="H14" s="25" t="s">
        <v>18</v>
      </c>
      <c r="I14" s="28" t="s">
        <v>26</v>
      </c>
      <c r="J14" s="33" t="s">
        <v>34</v>
      </c>
      <c r="K14" s="25" t="s">
        <v>43</v>
      </c>
    </row>
    <row r="15" spans="1:11" ht="60" x14ac:dyDescent="0.2">
      <c r="A15" s="2">
        <v>7</v>
      </c>
      <c r="B15" s="73">
        <v>46172</v>
      </c>
      <c r="C15" s="74" t="s">
        <v>178</v>
      </c>
      <c r="D15" s="74" t="s">
        <v>179</v>
      </c>
      <c r="E15" s="74" t="s">
        <v>181</v>
      </c>
      <c r="F15" s="74">
        <v>16</v>
      </c>
      <c r="G15" s="74" t="s">
        <v>182</v>
      </c>
      <c r="H15" s="74" t="s">
        <v>18</v>
      </c>
      <c r="I15" s="75" t="s">
        <v>183</v>
      </c>
      <c r="J15" s="76" t="s">
        <v>34</v>
      </c>
      <c r="K15" s="74" t="s">
        <v>188</v>
      </c>
    </row>
    <row r="16" spans="1:11" ht="90" x14ac:dyDescent="0.2">
      <c r="A16" s="184">
        <v>8</v>
      </c>
      <c r="B16" s="190">
        <v>46186</v>
      </c>
      <c r="C16" s="191" t="s">
        <v>192</v>
      </c>
      <c r="D16" s="191" t="s">
        <v>195</v>
      </c>
      <c r="E16" s="63" t="s">
        <v>199</v>
      </c>
      <c r="F16" s="63">
        <v>18</v>
      </c>
      <c r="G16" s="63" t="s">
        <v>202</v>
      </c>
      <c r="H16" s="63" t="s">
        <v>18</v>
      </c>
      <c r="I16" s="64" t="s">
        <v>205</v>
      </c>
      <c r="J16" s="66" t="s">
        <v>34</v>
      </c>
      <c r="K16" s="34" t="s">
        <v>207</v>
      </c>
    </row>
    <row r="17" spans="1:11" ht="90" x14ac:dyDescent="0.2">
      <c r="A17" s="185"/>
      <c r="B17" s="185"/>
      <c r="C17" s="185"/>
      <c r="D17" s="185"/>
      <c r="E17" s="63" t="s">
        <v>208</v>
      </c>
      <c r="F17" s="63">
        <v>20</v>
      </c>
      <c r="G17" s="63" t="s">
        <v>202</v>
      </c>
      <c r="H17" s="63" t="s">
        <v>18</v>
      </c>
      <c r="I17" s="64" t="s">
        <v>210</v>
      </c>
      <c r="J17" s="66" t="s">
        <v>34</v>
      </c>
      <c r="K17" s="34" t="s">
        <v>125</v>
      </c>
    </row>
    <row r="18" spans="1:11" ht="90" x14ac:dyDescent="0.2">
      <c r="A18" s="186"/>
      <c r="B18" s="186"/>
      <c r="C18" s="186"/>
      <c r="D18" s="186"/>
      <c r="E18" s="63" t="s">
        <v>213</v>
      </c>
      <c r="F18" s="63">
        <v>20</v>
      </c>
      <c r="G18" s="63" t="s">
        <v>202</v>
      </c>
      <c r="H18" s="63" t="s">
        <v>18</v>
      </c>
      <c r="I18" s="64" t="s">
        <v>214</v>
      </c>
      <c r="J18" s="66" t="s">
        <v>34</v>
      </c>
      <c r="K18" s="34" t="s">
        <v>125</v>
      </c>
    </row>
    <row r="19" spans="1:11" ht="90" x14ac:dyDescent="0.2">
      <c r="A19" s="184">
        <v>9</v>
      </c>
      <c r="B19" s="192">
        <v>46200</v>
      </c>
      <c r="C19" s="193" t="s">
        <v>216</v>
      </c>
      <c r="D19" s="193" t="s">
        <v>217</v>
      </c>
      <c r="E19" s="79" t="s">
        <v>219</v>
      </c>
      <c r="F19" s="79">
        <v>20</v>
      </c>
      <c r="G19" s="79" t="s">
        <v>220</v>
      </c>
      <c r="H19" s="79" t="s">
        <v>18</v>
      </c>
      <c r="I19" s="80" t="s">
        <v>221</v>
      </c>
      <c r="J19" s="80" t="s">
        <v>34</v>
      </c>
      <c r="K19" s="79" t="s">
        <v>225</v>
      </c>
    </row>
    <row r="20" spans="1:11" ht="75" x14ac:dyDescent="0.2">
      <c r="A20" s="186"/>
      <c r="B20" s="186"/>
      <c r="C20" s="186"/>
      <c r="D20" s="186"/>
      <c r="E20" s="79" t="s">
        <v>226</v>
      </c>
      <c r="F20" s="79">
        <v>20</v>
      </c>
      <c r="G20" s="79" t="s">
        <v>220</v>
      </c>
      <c r="H20" s="79" t="s">
        <v>18</v>
      </c>
      <c r="I20" s="80" t="s">
        <v>227</v>
      </c>
      <c r="J20" s="80" t="s">
        <v>34</v>
      </c>
      <c r="K20" s="79" t="s">
        <v>230</v>
      </c>
    </row>
    <row r="21" spans="1:11" ht="60" x14ac:dyDescent="0.2">
      <c r="A21" s="184">
        <v>10</v>
      </c>
      <c r="B21" s="187">
        <v>46214</v>
      </c>
      <c r="C21" s="188" t="s">
        <v>46</v>
      </c>
      <c r="D21" s="188" t="s">
        <v>51</v>
      </c>
      <c r="E21" s="25" t="s">
        <v>56</v>
      </c>
      <c r="F21" s="25">
        <v>20</v>
      </c>
      <c r="G21" s="25" t="s">
        <v>58</v>
      </c>
      <c r="H21" s="25" t="s">
        <v>18</v>
      </c>
      <c r="I21" s="28" t="s">
        <v>63</v>
      </c>
      <c r="J21" s="33" t="s">
        <v>34</v>
      </c>
      <c r="K21" s="25" t="s">
        <v>68</v>
      </c>
    </row>
    <row r="22" spans="1:11" ht="75" x14ac:dyDescent="0.2">
      <c r="A22" s="186"/>
      <c r="B22" s="186"/>
      <c r="C22" s="186"/>
      <c r="D22" s="186"/>
      <c r="E22" s="25" t="s">
        <v>70</v>
      </c>
      <c r="F22" s="25">
        <v>20</v>
      </c>
      <c r="G22" s="25" t="s">
        <v>58</v>
      </c>
      <c r="H22" s="25" t="s">
        <v>18</v>
      </c>
      <c r="I22" s="28" t="s">
        <v>71</v>
      </c>
      <c r="J22" s="33" t="s">
        <v>34</v>
      </c>
      <c r="K22" s="25" t="s">
        <v>81</v>
      </c>
    </row>
    <row r="23" spans="1:11" ht="75" x14ac:dyDescent="0.2">
      <c r="A23" s="184">
        <v>11</v>
      </c>
      <c r="B23" s="197">
        <v>46228</v>
      </c>
      <c r="C23" s="198" t="s">
        <v>240</v>
      </c>
      <c r="D23" s="198" t="s">
        <v>241</v>
      </c>
      <c r="E23" s="85" t="s">
        <v>89</v>
      </c>
      <c r="F23" s="85">
        <v>8</v>
      </c>
      <c r="G23" s="85" t="s">
        <v>95</v>
      </c>
      <c r="H23" s="85" t="s">
        <v>18</v>
      </c>
      <c r="I23" s="88" t="s">
        <v>96</v>
      </c>
      <c r="J23" s="88" t="s">
        <v>34</v>
      </c>
      <c r="K23" s="85" t="s">
        <v>104</v>
      </c>
    </row>
    <row r="24" spans="1:11" ht="75" x14ac:dyDescent="0.2">
      <c r="A24" s="185"/>
      <c r="B24" s="185"/>
      <c r="C24" s="185"/>
      <c r="D24" s="185"/>
      <c r="E24" s="85" t="s">
        <v>105</v>
      </c>
      <c r="F24" s="85">
        <v>4</v>
      </c>
      <c r="G24" s="85" t="s">
        <v>95</v>
      </c>
      <c r="H24" s="85" t="s">
        <v>18</v>
      </c>
      <c r="I24" s="88" t="s">
        <v>107</v>
      </c>
      <c r="J24" s="88" t="s">
        <v>34</v>
      </c>
      <c r="K24" s="85" t="s">
        <v>121</v>
      </c>
    </row>
    <row r="25" spans="1:11" ht="75" x14ac:dyDescent="0.2">
      <c r="A25" s="185"/>
      <c r="B25" s="185"/>
      <c r="C25" s="185"/>
      <c r="D25" s="185"/>
      <c r="E25" s="85" t="s">
        <v>124</v>
      </c>
      <c r="F25" s="85">
        <v>18</v>
      </c>
      <c r="G25" s="85" t="s">
        <v>95</v>
      </c>
      <c r="H25" s="85" t="s">
        <v>18</v>
      </c>
      <c r="I25" s="88" t="s">
        <v>126</v>
      </c>
      <c r="J25" s="88" t="s">
        <v>34</v>
      </c>
      <c r="K25" s="85" t="s">
        <v>133</v>
      </c>
    </row>
    <row r="26" spans="1:11" ht="60" x14ac:dyDescent="0.2">
      <c r="A26" s="185"/>
      <c r="B26" s="185"/>
      <c r="C26" s="185"/>
      <c r="D26" s="185"/>
      <c r="E26" s="85" t="s">
        <v>99</v>
      </c>
      <c r="F26" s="85">
        <v>18</v>
      </c>
      <c r="G26" s="85" t="s">
        <v>95</v>
      </c>
      <c r="H26" s="85" t="s">
        <v>18</v>
      </c>
      <c r="I26" s="88" t="s">
        <v>135</v>
      </c>
      <c r="J26" s="88" t="s">
        <v>34</v>
      </c>
      <c r="K26" s="85" t="s">
        <v>141</v>
      </c>
    </row>
    <row r="27" spans="1:11" ht="75" x14ac:dyDescent="0.2">
      <c r="A27" s="185"/>
      <c r="B27" s="185"/>
      <c r="C27" s="185"/>
      <c r="D27" s="185"/>
      <c r="E27" s="85" t="s">
        <v>144</v>
      </c>
      <c r="F27" s="85">
        <v>4</v>
      </c>
      <c r="G27" s="85" t="s">
        <v>145</v>
      </c>
      <c r="H27" s="85" t="s">
        <v>18</v>
      </c>
      <c r="I27" s="88" t="s">
        <v>146</v>
      </c>
      <c r="J27" s="88" t="s">
        <v>34</v>
      </c>
      <c r="K27" s="85" t="s">
        <v>155</v>
      </c>
    </row>
    <row r="28" spans="1:11" ht="75" x14ac:dyDescent="0.2">
      <c r="A28" s="186"/>
      <c r="B28" s="186"/>
      <c r="C28" s="186"/>
      <c r="D28" s="186"/>
      <c r="E28" s="85" t="s">
        <v>157</v>
      </c>
      <c r="F28" s="85">
        <v>2</v>
      </c>
      <c r="G28" s="85" t="s">
        <v>95</v>
      </c>
      <c r="H28" s="85" t="s">
        <v>18</v>
      </c>
      <c r="I28" s="88" t="s">
        <v>158</v>
      </c>
      <c r="J28" s="88" t="s">
        <v>34</v>
      </c>
      <c r="K28" s="85" t="s">
        <v>160</v>
      </c>
    </row>
    <row r="29" spans="1:11" ht="60" x14ac:dyDescent="0.2">
      <c r="A29" s="184">
        <v>12</v>
      </c>
      <c r="B29" s="195">
        <v>46242</v>
      </c>
      <c r="C29" s="196" t="s">
        <v>279</v>
      </c>
      <c r="D29" s="196" t="s">
        <v>280</v>
      </c>
      <c r="E29" s="89" t="s">
        <v>237</v>
      </c>
      <c r="F29" s="89">
        <v>10</v>
      </c>
      <c r="G29" s="89" t="s">
        <v>238</v>
      </c>
      <c r="H29" s="89" t="s">
        <v>18</v>
      </c>
      <c r="I29" s="102" t="s">
        <v>239</v>
      </c>
      <c r="J29" s="102" t="s">
        <v>34</v>
      </c>
      <c r="K29" s="89" t="s">
        <v>242</v>
      </c>
    </row>
    <row r="30" spans="1:11" ht="60" x14ac:dyDescent="0.2">
      <c r="A30" s="185"/>
      <c r="B30" s="185"/>
      <c r="C30" s="185"/>
      <c r="D30" s="185"/>
      <c r="E30" s="89" t="s">
        <v>243</v>
      </c>
      <c r="F30" s="89">
        <v>18</v>
      </c>
      <c r="G30" s="89" t="s">
        <v>238</v>
      </c>
      <c r="H30" s="89" t="s">
        <v>18</v>
      </c>
      <c r="I30" s="102" t="s">
        <v>244</v>
      </c>
      <c r="J30" s="102" t="s">
        <v>34</v>
      </c>
      <c r="K30" s="89" t="s">
        <v>245</v>
      </c>
    </row>
    <row r="31" spans="1:11" ht="60" x14ac:dyDescent="0.2">
      <c r="A31" s="185"/>
      <c r="B31" s="185"/>
      <c r="C31" s="185"/>
      <c r="D31" s="185"/>
      <c r="E31" s="89" t="s">
        <v>108</v>
      </c>
      <c r="F31" s="89">
        <v>10</v>
      </c>
      <c r="G31" s="89" t="s">
        <v>223</v>
      </c>
      <c r="H31" s="89" t="s">
        <v>18</v>
      </c>
      <c r="I31" s="102" t="s">
        <v>224</v>
      </c>
      <c r="J31" s="102" t="s">
        <v>34</v>
      </c>
      <c r="K31" s="89" t="s">
        <v>228</v>
      </c>
    </row>
    <row r="32" spans="1:11" ht="60" x14ac:dyDescent="0.2">
      <c r="A32" s="186"/>
      <c r="B32" s="186"/>
      <c r="C32" s="186"/>
      <c r="D32" s="186"/>
      <c r="E32" s="89" t="s">
        <v>114</v>
      </c>
      <c r="F32" s="89">
        <v>10</v>
      </c>
      <c r="G32" s="89" t="s">
        <v>223</v>
      </c>
      <c r="H32" s="89" t="s">
        <v>18</v>
      </c>
      <c r="I32" s="102" t="s">
        <v>233</v>
      </c>
      <c r="J32" s="102" t="s">
        <v>34</v>
      </c>
      <c r="K32" s="89" t="s">
        <v>234</v>
      </c>
    </row>
    <row r="33" spans="1:11" ht="60" x14ac:dyDescent="0.2">
      <c r="A33" s="105"/>
      <c r="B33" s="105"/>
      <c r="C33" s="61"/>
      <c r="D33" s="61"/>
      <c r="E33" s="91" t="s">
        <v>290</v>
      </c>
      <c r="F33" s="91">
        <v>20</v>
      </c>
      <c r="G33" s="91" t="s">
        <v>153</v>
      </c>
      <c r="H33" s="91" t="s">
        <v>18</v>
      </c>
      <c r="I33" s="107" t="s">
        <v>291</v>
      </c>
      <c r="J33" s="107" t="s">
        <v>34</v>
      </c>
      <c r="K33" s="91" t="s">
        <v>246</v>
      </c>
    </row>
    <row r="34" spans="1:11" ht="60" x14ac:dyDescent="0.2">
      <c r="A34" s="105"/>
      <c r="B34" s="105"/>
      <c r="C34" s="61"/>
      <c r="D34" s="61"/>
      <c r="E34" s="91" t="s">
        <v>97</v>
      </c>
      <c r="F34" s="91">
        <v>20</v>
      </c>
      <c r="G34" s="91" t="s">
        <v>153</v>
      </c>
      <c r="H34" s="91" t="s">
        <v>18</v>
      </c>
      <c r="I34" s="107" t="s">
        <v>154</v>
      </c>
      <c r="J34" s="107" t="s">
        <v>34</v>
      </c>
      <c r="K34" s="91" t="s">
        <v>129</v>
      </c>
    </row>
    <row r="35" spans="1:11" ht="90" x14ac:dyDescent="0.2">
      <c r="A35" s="105"/>
      <c r="B35" s="105"/>
      <c r="C35" s="61"/>
      <c r="D35" s="61"/>
      <c r="E35" s="91" t="s">
        <v>247</v>
      </c>
      <c r="F35" s="91">
        <v>20</v>
      </c>
      <c r="G35" s="91" t="s">
        <v>296</v>
      </c>
      <c r="H35" s="91" t="s">
        <v>18</v>
      </c>
      <c r="I35" s="107" t="s">
        <v>297</v>
      </c>
      <c r="J35" s="107" t="s">
        <v>34</v>
      </c>
      <c r="K35" s="91" t="s">
        <v>125</v>
      </c>
    </row>
    <row r="36" spans="1:11" ht="60" x14ac:dyDescent="0.2">
      <c r="A36" s="105"/>
      <c r="B36" s="105"/>
      <c r="C36" s="61"/>
      <c r="D36" s="61"/>
      <c r="E36" s="91" t="s">
        <v>41</v>
      </c>
      <c r="F36" s="91">
        <v>18</v>
      </c>
      <c r="G36" s="91" t="s">
        <v>76</v>
      </c>
      <c r="H36" s="91" t="s">
        <v>18</v>
      </c>
      <c r="I36" s="107" t="s">
        <v>77</v>
      </c>
      <c r="J36" s="107" t="s">
        <v>34</v>
      </c>
      <c r="K36" s="91" t="s">
        <v>88</v>
      </c>
    </row>
    <row r="37" spans="1:11" ht="90" x14ac:dyDescent="0.2">
      <c r="A37" s="105"/>
      <c r="B37" s="105"/>
      <c r="C37" s="61"/>
      <c r="D37" s="61"/>
      <c r="E37" s="91" t="s">
        <v>171</v>
      </c>
      <c r="F37" s="91">
        <v>10</v>
      </c>
      <c r="G37" s="91" t="s">
        <v>76</v>
      </c>
      <c r="H37" s="91" t="s">
        <v>18</v>
      </c>
      <c r="I37" s="107" t="s">
        <v>172</v>
      </c>
      <c r="J37" s="107" t="s">
        <v>34</v>
      </c>
      <c r="K37" s="91" t="s">
        <v>180</v>
      </c>
    </row>
    <row r="38" spans="1:11" ht="60" x14ac:dyDescent="0.2">
      <c r="A38" s="105"/>
      <c r="B38" s="105"/>
      <c r="C38" s="61"/>
      <c r="D38" s="61"/>
      <c r="E38" s="91" t="s">
        <v>186</v>
      </c>
      <c r="F38" s="91">
        <v>6</v>
      </c>
      <c r="G38" s="91" t="s">
        <v>76</v>
      </c>
      <c r="H38" s="91" t="s">
        <v>18</v>
      </c>
      <c r="I38" s="107" t="s">
        <v>187</v>
      </c>
      <c r="J38" s="107" t="s">
        <v>34</v>
      </c>
      <c r="K38" s="91" t="s">
        <v>189</v>
      </c>
    </row>
    <row r="39" spans="1:11" ht="60" x14ac:dyDescent="0.2">
      <c r="A39" s="105"/>
      <c r="B39" s="105"/>
      <c r="C39" s="61"/>
      <c r="D39" s="61"/>
      <c r="E39" s="91" t="s">
        <v>250</v>
      </c>
      <c r="F39" s="91">
        <v>20</v>
      </c>
      <c r="G39" s="91" t="s">
        <v>260</v>
      </c>
      <c r="H39" s="91" t="s">
        <v>18</v>
      </c>
      <c r="I39" s="107" t="s">
        <v>261</v>
      </c>
      <c r="J39" s="107" t="s">
        <v>34</v>
      </c>
      <c r="K39" s="91" t="s">
        <v>248</v>
      </c>
    </row>
    <row r="40" spans="1:11" ht="60" x14ac:dyDescent="0.2">
      <c r="A40" s="105"/>
      <c r="B40" s="105"/>
      <c r="C40" s="61"/>
      <c r="D40" s="61"/>
      <c r="E40" s="91" t="s">
        <v>301</v>
      </c>
      <c r="F40" s="91">
        <v>12</v>
      </c>
      <c r="G40" s="91" t="s">
        <v>163</v>
      </c>
      <c r="H40" s="91" t="s">
        <v>18</v>
      </c>
      <c r="I40" s="107" t="s">
        <v>302</v>
      </c>
      <c r="J40" s="107" t="s">
        <v>34</v>
      </c>
      <c r="K40" s="91" t="s">
        <v>251</v>
      </c>
    </row>
    <row r="41" spans="1:11" ht="60" x14ac:dyDescent="0.2">
      <c r="A41" s="105"/>
      <c r="B41" s="105"/>
      <c r="C41" s="61"/>
      <c r="D41" s="61"/>
      <c r="E41" s="91" t="s">
        <v>98</v>
      </c>
      <c r="F41" s="91">
        <v>12</v>
      </c>
      <c r="G41" s="91" t="s">
        <v>163</v>
      </c>
      <c r="H41" s="91" t="s">
        <v>18</v>
      </c>
      <c r="I41" s="107" t="s">
        <v>164</v>
      </c>
      <c r="J41" s="107" t="s">
        <v>34</v>
      </c>
      <c r="K41" s="91" t="s">
        <v>170</v>
      </c>
    </row>
    <row r="42" spans="1:11" ht="90" x14ac:dyDescent="0.2">
      <c r="A42" s="105"/>
      <c r="B42" s="105"/>
      <c r="C42" s="61"/>
      <c r="D42" s="61"/>
      <c r="E42" s="91" t="s">
        <v>253</v>
      </c>
      <c r="F42" s="91">
        <v>2</v>
      </c>
      <c r="G42" s="91" t="s">
        <v>163</v>
      </c>
      <c r="H42" s="91" t="s">
        <v>18</v>
      </c>
      <c r="I42" s="107" t="s">
        <v>307</v>
      </c>
      <c r="J42" s="107" t="s">
        <v>34</v>
      </c>
      <c r="K42" s="91" t="s">
        <v>252</v>
      </c>
    </row>
    <row r="43" spans="1:11" ht="75" x14ac:dyDescent="0.2">
      <c r="A43" s="105"/>
      <c r="B43" s="105"/>
      <c r="C43" s="61"/>
      <c r="D43" s="61"/>
      <c r="E43" s="91" t="s">
        <v>191</v>
      </c>
      <c r="F43" s="91">
        <v>12</v>
      </c>
      <c r="G43" s="91" t="s">
        <v>193</v>
      </c>
      <c r="H43" s="91" t="s">
        <v>18</v>
      </c>
      <c r="I43" s="107" t="s">
        <v>194</v>
      </c>
      <c r="J43" s="107" t="s">
        <v>34</v>
      </c>
      <c r="K43" s="91" t="s">
        <v>206</v>
      </c>
    </row>
    <row r="44" spans="1:11" ht="60" x14ac:dyDescent="0.2">
      <c r="A44" s="105"/>
      <c r="B44" s="105"/>
      <c r="C44" s="61"/>
      <c r="D44" s="61"/>
      <c r="E44" s="91" t="s">
        <v>103</v>
      </c>
      <c r="F44" s="91">
        <v>20</v>
      </c>
      <c r="G44" s="91" t="s">
        <v>203</v>
      </c>
      <c r="H44" s="91" t="s">
        <v>18</v>
      </c>
      <c r="I44" s="107" t="s">
        <v>204</v>
      </c>
      <c r="J44" s="107" t="s">
        <v>34</v>
      </c>
      <c r="K44" s="91" t="s">
        <v>85</v>
      </c>
    </row>
    <row r="45" spans="1:11" ht="75" x14ac:dyDescent="0.2">
      <c r="A45" s="105"/>
      <c r="B45" s="105"/>
      <c r="C45" s="61"/>
      <c r="D45" s="61"/>
      <c r="E45" s="91" t="s">
        <v>331</v>
      </c>
      <c r="F45" s="91">
        <v>16</v>
      </c>
      <c r="G45" s="91" t="s">
        <v>332</v>
      </c>
      <c r="H45" s="91" t="s">
        <v>18</v>
      </c>
      <c r="I45" s="107" t="s">
        <v>333</v>
      </c>
      <c r="J45" s="107" t="s">
        <v>34</v>
      </c>
      <c r="K45" s="91" t="s">
        <v>254</v>
      </c>
    </row>
    <row r="46" spans="1:11" ht="105" x14ac:dyDescent="0.2">
      <c r="A46" s="105"/>
      <c r="B46" s="105"/>
      <c r="C46" s="61"/>
      <c r="D46" s="61"/>
      <c r="E46" s="91" t="s">
        <v>335</v>
      </c>
      <c r="F46" s="91">
        <v>2</v>
      </c>
      <c r="G46" s="91" t="s">
        <v>332</v>
      </c>
      <c r="H46" s="91" t="s">
        <v>18</v>
      </c>
      <c r="I46" s="107" t="s">
        <v>336</v>
      </c>
      <c r="J46" s="107" t="s">
        <v>34</v>
      </c>
      <c r="K46" s="91" t="s">
        <v>255</v>
      </c>
    </row>
    <row r="47" spans="1:11" ht="90" x14ac:dyDescent="0.2">
      <c r="A47" s="105"/>
      <c r="B47" s="105"/>
      <c r="C47" s="61"/>
      <c r="D47" s="61"/>
      <c r="E47" s="91" t="s">
        <v>257</v>
      </c>
      <c r="F47" s="91">
        <v>20</v>
      </c>
      <c r="G47" s="91" t="s">
        <v>266</v>
      </c>
      <c r="H47" s="91" t="s">
        <v>18</v>
      </c>
      <c r="I47" s="107" t="s">
        <v>267</v>
      </c>
      <c r="J47" s="107" t="s">
        <v>34</v>
      </c>
      <c r="K47" s="91" t="s">
        <v>256</v>
      </c>
    </row>
  </sheetData>
  <mergeCells count="34">
    <mergeCell ref="A29:A32"/>
    <mergeCell ref="B29:B32"/>
    <mergeCell ref="C29:C32"/>
    <mergeCell ref="D29:D32"/>
    <mergeCell ref="A16:A18"/>
    <mergeCell ref="A19:A20"/>
    <mergeCell ref="A21:A22"/>
    <mergeCell ref="A23:A28"/>
    <mergeCell ref="B23:B28"/>
    <mergeCell ref="C23:C28"/>
    <mergeCell ref="D23:D28"/>
    <mergeCell ref="B21:B22"/>
    <mergeCell ref="C21:C22"/>
    <mergeCell ref="D21:D22"/>
    <mergeCell ref="B8:B10"/>
    <mergeCell ref="C8:C10"/>
    <mergeCell ref="B11:B12"/>
    <mergeCell ref="C11:C12"/>
    <mergeCell ref="D11:D12"/>
    <mergeCell ref="D16:D18"/>
    <mergeCell ref="A8:A10"/>
    <mergeCell ref="D8:D10"/>
    <mergeCell ref="B16:B18"/>
    <mergeCell ref="C16:C18"/>
    <mergeCell ref="B19:B20"/>
    <mergeCell ref="C19:C20"/>
    <mergeCell ref="D19:D20"/>
    <mergeCell ref="A11:A12"/>
    <mergeCell ref="B1:D1"/>
    <mergeCell ref="E1:K1"/>
    <mergeCell ref="A4:A7"/>
    <mergeCell ref="B4:B7"/>
    <mergeCell ref="C4:C7"/>
    <mergeCell ref="D4:D7"/>
  </mergeCells>
  <conditionalFormatting sqref="A3:K47">
    <cfRule type="expression" dxfId="26" priority="1">
      <formula>#REF!="Primera Fase"</formula>
    </cfRule>
    <cfRule type="expression" dxfId="25" priority="2">
      <formula>#REF!="Segunda Fase"</formula>
    </cfRule>
    <cfRule type="expression" dxfId="24" priority="3">
      <formula>#REF!="Conflicto de Turno"</formula>
    </cfRule>
  </conditionalFormatting>
  <hyperlinks>
    <hyperlink ref="I3" r:id="rId1" xr:uid="{00000000-0004-0000-0100-000000000000}"/>
    <hyperlink ref="J3" r:id="rId2" xr:uid="{00000000-0004-0000-0100-000001000000}"/>
    <hyperlink ref="I4" r:id="rId3" xr:uid="{00000000-0004-0000-0100-000002000000}"/>
    <hyperlink ref="J4" r:id="rId4" xr:uid="{00000000-0004-0000-0100-000003000000}"/>
    <hyperlink ref="I5" r:id="rId5" xr:uid="{00000000-0004-0000-0100-000004000000}"/>
    <hyperlink ref="J5" r:id="rId6" xr:uid="{00000000-0004-0000-0100-000005000000}"/>
    <hyperlink ref="I6" r:id="rId7" xr:uid="{00000000-0004-0000-0100-000006000000}"/>
    <hyperlink ref="J6" r:id="rId8" xr:uid="{00000000-0004-0000-0100-000007000000}"/>
    <hyperlink ref="I7" r:id="rId9" xr:uid="{00000000-0004-0000-0100-000008000000}"/>
    <hyperlink ref="J7" r:id="rId10" xr:uid="{00000000-0004-0000-0100-000009000000}"/>
    <hyperlink ref="I8" r:id="rId11" xr:uid="{00000000-0004-0000-0100-00000A000000}"/>
    <hyperlink ref="J8" r:id="rId12" xr:uid="{00000000-0004-0000-0100-00000B000000}"/>
    <hyperlink ref="I9" r:id="rId13" xr:uid="{00000000-0004-0000-0100-00000C000000}"/>
    <hyperlink ref="J9" r:id="rId14" xr:uid="{00000000-0004-0000-0100-00000D000000}"/>
    <hyperlink ref="I10" r:id="rId15" xr:uid="{00000000-0004-0000-0100-00000E000000}"/>
    <hyperlink ref="J10" r:id="rId16" xr:uid="{00000000-0004-0000-0100-00000F000000}"/>
    <hyperlink ref="I11" r:id="rId17" xr:uid="{00000000-0004-0000-0100-000010000000}"/>
    <hyperlink ref="J11" r:id="rId18" xr:uid="{00000000-0004-0000-0100-000011000000}"/>
    <hyperlink ref="I12" r:id="rId19" xr:uid="{00000000-0004-0000-0100-000012000000}"/>
    <hyperlink ref="J12" r:id="rId20" xr:uid="{00000000-0004-0000-0100-000013000000}"/>
    <hyperlink ref="I13" r:id="rId21" xr:uid="{00000000-0004-0000-0100-000014000000}"/>
    <hyperlink ref="J13" r:id="rId22" xr:uid="{00000000-0004-0000-0100-000015000000}"/>
    <hyperlink ref="I14" r:id="rId23" xr:uid="{00000000-0004-0000-0100-000016000000}"/>
    <hyperlink ref="J14" r:id="rId24" xr:uid="{00000000-0004-0000-0100-000017000000}"/>
    <hyperlink ref="I15" r:id="rId25" xr:uid="{00000000-0004-0000-0100-000018000000}"/>
    <hyperlink ref="J15" r:id="rId26" xr:uid="{00000000-0004-0000-0100-000019000000}"/>
    <hyperlink ref="I16" r:id="rId27" xr:uid="{00000000-0004-0000-0100-00001A000000}"/>
    <hyperlink ref="J16" r:id="rId28" xr:uid="{00000000-0004-0000-0100-00001B000000}"/>
    <hyperlink ref="I17" r:id="rId29" xr:uid="{00000000-0004-0000-0100-00001C000000}"/>
    <hyperlink ref="J17" r:id="rId30" xr:uid="{00000000-0004-0000-0100-00001D000000}"/>
    <hyperlink ref="I18" r:id="rId31" xr:uid="{00000000-0004-0000-0100-00001E000000}"/>
    <hyperlink ref="J18" r:id="rId32" xr:uid="{00000000-0004-0000-0100-00001F000000}"/>
    <hyperlink ref="I19" r:id="rId33" xr:uid="{00000000-0004-0000-0100-000020000000}"/>
    <hyperlink ref="J19" r:id="rId34" xr:uid="{00000000-0004-0000-0100-000021000000}"/>
    <hyperlink ref="I20" r:id="rId35" xr:uid="{00000000-0004-0000-0100-000022000000}"/>
    <hyperlink ref="J20" r:id="rId36" xr:uid="{00000000-0004-0000-0100-000023000000}"/>
    <hyperlink ref="I21" r:id="rId37" xr:uid="{00000000-0004-0000-0100-000024000000}"/>
    <hyperlink ref="J21" r:id="rId38" xr:uid="{00000000-0004-0000-0100-000025000000}"/>
    <hyperlink ref="I22" r:id="rId39" xr:uid="{00000000-0004-0000-0100-000026000000}"/>
    <hyperlink ref="J22" r:id="rId40" xr:uid="{00000000-0004-0000-0100-000027000000}"/>
    <hyperlink ref="I23" r:id="rId41" xr:uid="{00000000-0004-0000-0100-000028000000}"/>
    <hyperlink ref="J23" r:id="rId42" xr:uid="{00000000-0004-0000-0100-000029000000}"/>
    <hyperlink ref="I24" r:id="rId43" xr:uid="{00000000-0004-0000-0100-00002A000000}"/>
    <hyperlink ref="J24" r:id="rId44" xr:uid="{00000000-0004-0000-0100-00002B000000}"/>
    <hyperlink ref="I25" r:id="rId45" xr:uid="{00000000-0004-0000-0100-00002C000000}"/>
    <hyperlink ref="J25" r:id="rId46" xr:uid="{00000000-0004-0000-0100-00002D000000}"/>
    <hyperlink ref="I26" r:id="rId47" xr:uid="{00000000-0004-0000-0100-00002E000000}"/>
    <hyperlink ref="J26" r:id="rId48" xr:uid="{00000000-0004-0000-0100-00002F000000}"/>
    <hyperlink ref="I27" r:id="rId49" xr:uid="{00000000-0004-0000-0100-000030000000}"/>
    <hyperlink ref="J27" r:id="rId50" xr:uid="{00000000-0004-0000-0100-000031000000}"/>
    <hyperlink ref="I28" r:id="rId51" xr:uid="{00000000-0004-0000-0100-000032000000}"/>
    <hyperlink ref="J28" r:id="rId52" xr:uid="{00000000-0004-0000-0100-000033000000}"/>
    <hyperlink ref="I29" r:id="rId53" xr:uid="{00000000-0004-0000-0100-000034000000}"/>
    <hyperlink ref="J29" r:id="rId54" xr:uid="{00000000-0004-0000-0100-000035000000}"/>
    <hyperlink ref="I30" r:id="rId55" xr:uid="{00000000-0004-0000-0100-000036000000}"/>
    <hyperlink ref="J30" r:id="rId56" xr:uid="{00000000-0004-0000-0100-000037000000}"/>
    <hyperlink ref="I31" r:id="rId57" xr:uid="{00000000-0004-0000-0100-000038000000}"/>
    <hyperlink ref="J31" r:id="rId58" xr:uid="{00000000-0004-0000-0100-000039000000}"/>
    <hyperlink ref="I32" r:id="rId59" xr:uid="{00000000-0004-0000-0100-00003A000000}"/>
    <hyperlink ref="J32" r:id="rId60" xr:uid="{00000000-0004-0000-0100-00003B000000}"/>
    <hyperlink ref="I33" r:id="rId61" xr:uid="{00000000-0004-0000-0100-00003C000000}"/>
    <hyperlink ref="J33" r:id="rId62" xr:uid="{00000000-0004-0000-0100-00003D000000}"/>
    <hyperlink ref="I34" r:id="rId63" xr:uid="{00000000-0004-0000-0100-00003E000000}"/>
    <hyperlink ref="J34" r:id="rId64" xr:uid="{00000000-0004-0000-0100-00003F000000}"/>
    <hyperlink ref="I35" r:id="rId65" xr:uid="{00000000-0004-0000-0100-000040000000}"/>
    <hyperlink ref="J35" r:id="rId66" xr:uid="{00000000-0004-0000-0100-000041000000}"/>
    <hyperlink ref="I36" r:id="rId67" xr:uid="{00000000-0004-0000-0100-000042000000}"/>
    <hyperlink ref="J36" r:id="rId68" xr:uid="{00000000-0004-0000-0100-000043000000}"/>
    <hyperlink ref="I37" r:id="rId69" xr:uid="{00000000-0004-0000-0100-000044000000}"/>
    <hyperlink ref="J37" r:id="rId70" xr:uid="{00000000-0004-0000-0100-000045000000}"/>
    <hyperlink ref="I38" r:id="rId71" xr:uid="{00000000-0004-0000-0100-000046000000}"/>
    <hyperlink ref="J38" r:id="rId72" xr:uid="{00000000-0004-0000-0100-000047000000}"/>
    <hyperlink ref="I39" r:id="rId73" xr:uid="{00000000-0004-0000-0100-000048000000}"/>
    <hyperlink ref="J39" r:id="rId74" xr:uid="{00000000-0004-0000-0100-000049000000}"/>
    <hyperlink ref="I40" r:id="rId75" xr:uid="{00000000-0004-0000-0100-00004A000000}"/>
    <hyperlink ref="J40" r:id="rId76" xr:uid="{00000000-0004-0000-0100-00004B000000}"/>
    <hyperlink ref="I41" r:id="rId77" xr:uid="{00000000-0004-0000-0100-00004C000000}"/>
    <hyperlink ref="J41" r:id="rId78" xr:uid="{00000000-0004-0000-0100-00004D000000}"/>
    <hyperlink ref="I42" r:id="rId79" xr:uid="{00000000-0004-0000-0100-00004E000000}"/>
    <hyperlink ref="J42" r:id="rId80" xr:uid="{00000000-0004-0000-0100-00004F000000}"/>
    <hyperlink ref="I43" r:id="rId81" xr:uid="{00000000-0004-0000-0100-000050000000}"/>
    <hyperlink ref="J43" r:id="rId82" xr:uid="{00000000-0004-0000-0100-000051000000}"/>
    <hyperlink ref="I44" r:id="rId83" xr:uid="{00000000-0004-0000-0100-000052000000}"/>
    <hyperlink ref="J44" r:id="rId84" xr:uid="{00000000-0004-0000-0100-000053000000}"/>
    <hyperlink ref="I45" r:id="rId85" xr:uid="{00000000-0004-0000-0100-000054000000}"/>
    <hyperlink ref="J45" r:id="rId86" xr:uid="{00000000-0004-0000-0100-000055000000}"/>
    <hyperlink ref="I46" r:id="rId87" xr:uid="{00000000-0004-0000-0100-000056000000}"/>
    <hyperlink ref="J46" r:id="rId88" xr:uid="{00000000-0004-0000-0100-000057000000}"/>
    <hyperlink ref="I47" r:id="rId89" xr:uid="{00000000-0004-0000-0100-000058000000}"/>
    <hyperlink ref="J47" r:id="rId90" xr:uid="{00000000-0004-0000-0100-00005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99"/>
  <sheetViews>
    <sheetView tabSelected="1" workbookViewId="0">
      <pane ySplit="1" topLeftCell="A42" activePane="bottomLeft" state="frozen"/>
      <selection pane="bottomLeft" activeCell="A26" sqref="A26:A27"/>
    </sheetView>
  </sheetViews>
  <sheetFormatPr baseColWidth="10" defaultColWidth="12.5703125" defaultRowHeight="15.75" customHeight="1" x14ac:dyDescent="0.2"/>
  <cols>
    <col min="2" max="2" width="23.28515625" hidden="1" customWidth="1"/>
    <col min="3" max="3" width="18.5703125" bestFit="1" customWidth="1"/>
    <col min="4" max="4" width="17.42578125" bestFit="1" customWidth="1"/>
    <col min="5" max="5" width="69.42578125" bestFit="1" customWidth="1"/>
    <col min="6" max="6" width="21.7109375" customWidth="1"/>
    <col min="7" max="7" width="37.5703125" bestFit="1" customWidth="1"/>
    <col min="8" max="8" width="23.85546875" bestFit="1" customWidth="1"/>
    <col min="9" max="9" width="60.140625" bestFit="1" customWidth="1"/>
    <col min="10" max="10" width="22.42578125" customWidth="1"/>
    <col min="11" max="11" width="39" customWidth="1"/>
  </cols>
  <sheetData>
    <row r="1" spans="1:11" ht="43.5" x14ac:dyDescent="0.2">
      <c r="A1" s="4"/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1" ht="75" x14ac:dyDescent="0.2">
      <c r="A2" s="2">
        <v>1</v>
      </c>
      <c r="B2" s="9"/>
      <c r="C2" s="11" t="s">
        <v>22</v>
      </c>
      <c r="D2" s="12" t="s">
        <v>23</v>
      </c>
      <c r="E2" s="12" t="s">
        <v>24</v>
      </c>
      <c r="F2" s="12">
        <v>20</v>
      </c>
      <c r="G2" s="12" t="s">
        <v>25</v>
      </c>
      <c r="H2" s="12" t="s">
        <v>18</v>
      </c>
      <c r="I2" s="16" t="s">
        <v>26</v>
      </c>
      <c r="J2" s="22" t="s">
        <v>34</v>
      </c>
      <c r="K2" s="12" t="s">
        <v>43</v>
      </c>
    </row>
    <row r="3" spans="1:11" ht="45" x14ac:dyDescent="0.2">
      <c r="A3" s="184">
        <v>2</v>
      </c>
      <c r="B3" s="200"/>
      <c r="C3" s="201" t="s">
        <v>46</v>
      </c>
      <c r="D3" s="206" t="s">
        <v>51</v>
      </c>
      <c r="E3" s="12" t="s">
        <v>56</v>
      </c>
      <c r="F3" s="12">
        <v>20</v>
      </c>
      <c r="G3" s="12" t="s">
        <v>58</v>
      </c>
      <c r="H3" s="12" t="s">
        <v>18</v>
      </c>
      <c r="I3" s="16" t="s">
        <v>63</v>
      </c>
      <c r="J3" s="22" t="s">
        <v>34</v>
      </c>
      <c r="K3" s="12" t="s">
        <v>68</v>
      </c>
    </row>
    <row r="4" spans="1:11" ht="120" x14ac:dyDescent="0.2">
      <c r="A4" s="186"/>
      <c r="B4" s="186"/>
      <c r="C4" s="186"/>
      <c r="D4" s="186"/>
      <c r="E4" s="12" t="s">
        <v>70</v>
      </c>
      <c r="F4" s="12">
        <v>20</v>
      </c>
      <c r="G4" s="12" t="s">
        <v>58</v>
      </c>
      <c r="H4" s="12" t="s">
        <v>18</v>
      </c>
      <c r="I4" s="16" t="s">
        <v>71</v>
      </c>
      <c r="J4" s="22" t="s">
        <v>34</v>
      </c>
      <c r="K4" s="12" t="s">
        <v>81</v>
      </c>
    </row>
    <row r="5" spans="1:11" ht="90" x14ac:dyDescent="0.2">
      <c r="A5" s="184">
        <v>3</v>
      </c>
      <c r="B5" s="200"/>
      <c r="C5" s="201" t="s">
        <v>82</v>
      </c>
      <c r="D5" s="201" t="s">
        <v>84</v>
      </c>
      <c r="E5" s="38" t="s">
        <v>89</v>
      </c>
      <c r="F5" s="38">
        <v>8</v>
      </c>
      <c r="G5" s="38" t="s">
        <v>95</v>
      </c>
      <c r="H5" s="38" t="s">
        <v>18</v>
      </c>
      <c r="I5" s="41" t="s">
        <v>96</v>
      </c>
      <c r="J5" s="41" t="s">
        <v>34</v>
      </c>
      <c r="K5" s="38" t="s">
        <v>104</v>
      </c>
    </row>
    <row r="6" spans="1:11" ht="90" x14ac:dyDescent="0.2">
      <c r="A6" s="185"/>
      <c r="B6" s="185"/>
      <c r="C6" s="185"/>
      <c r="D6" s="185"/>
      <c r="E6" s="43" t="s">
        <v>105</v>
      </c>
      <c r="F6" s="38">
        <v>4</v>
      </c>
      <c r="G6" s="38" t="s">
        <v>95</v>
      </c>
      <c r="H6" s="38" t="s">
        <v>18</v>
      </c>
      <c r="I6" s="41" t="s">
        <v>107</v>
      </c>
      <c r="J6" s="41" t="s">
        <v>34</v>
      </c>
      <c r="K6" s="38" t="s">
        <v>121</v>
      </c>
    </row>
    <row r="7" spans="1:11" ht="90" x14ac:dyDescent="0.2">
      <c r="A7" s="185"/>
      <c r="B7" s="185"/>
      <c r="C7" s="185"/>
      <c r="D7" s="207" t="s">
        <v>123</v>
      </c>
      <c r="E7" s="38" t="s">
        <v>124</v>
      </c>
      <c r="F7" s="38">
        <v>18</v>
      </c>
      <c r="G7" s="38" t="s">
        <v>95</v>
      </c>
      <c r="H7" s="38" t="s">
        <v>18</v>
      </c>
      <c r="I7" s="41" t="s">
        <v>126</v>
      </c>
      <c r="J7" s="41" t="s">
        <v>34</v>
      </c>
      <c r="K7" s="38" t="s">
        <v>133</v>
      </c>
    </row>
    <row r="8" spans="1:11" ht="60" x14ac:dyDescent="0.2">
      <c r="A8" s="185"/>
      <c r="B8" s="185"/>
      <c r="C8" s="185"/>
      <c r="D8" s="185"/>
      <c r="E8" s="38" t="s">
        <v>99</v>
      </c>
      <c r="F8" s="38">
        <v>18</v>
      </c>
      <c r="G8" s="38" t="s">
        <v>95</v>
      </c>
      <c r="H8" s="38" t="s">
        <v>18</v>
      </c>
      <c r="I8" s="41" t="s">
        <v>135</v>
      </c>
      <c r="J8" s="41" t="s">
        <v>34</v>
      </c>
      <c r="K8" s="38" t="s">
        <v>141</v>
      </c>
    </row>
    <row r="9" spans="1:11" ht="90" x14ac:dyDescent="0.2">
      <c r="A9" s="185"/>
      <c r="B9" s="185"/>
      <c r="C9" s="185"/>
      <c r="D9" s="62" t="s">
        <v>143</v>
      </c>
      <c r="E9" s="38" t="s">
        <v>144</v>
      </c>
      <c r="F9" s="38">
        <v>4</v>
      </c>
      <c r="G9" s="38" t="s">
        <v>145</v>
      </c>
      <c r="H9" s="38" t="s">
        <v>18</v>
      </c>
      <c r="I9" s="41" t="s">
        <v>146</v>
      </c>
      <c r="J9" s="41" t="s">
        <v>34</v>
      </c>
      <c r="K9" s="38" t="s">
        <v>155</v>
      </c>
    </row>
    <row r="10" spans="1:11" ht="90" x14ac:dyDescent="0.2">
      <c r="A10" s="186"/>
      <c r="B10" s="186"/>
      <c r="C10" s="186"/>
      <c r="D10" s="65" t="s">
        <v>156</v>
      </c>
      <c r="E10" s="38" t="s">
        <v>157</v>
      </c>
      <c r="F10" s="38">
        <v>2</v>
      </c>
      <c r="G10" s="38" t="s">
        <v>95</v>
      </c>
      <c r="H10" s="38" t="s">
        <v>18</v>
      </c>
      <c r="I10" s="41" t="s">
        <v>158</v>
      </c>
      <c r="J10" s="41" t="s">
        <v>34</v>
      </c>
      <c r="K10" s="38" t="s">
        <v>160</v>
      </c>
    </row>
    <row r="11" spans="1:11" ht="45" x14ac:dyDescent="0.2">
      <c r="A11" s="208">
        <v>4</v>
      </c>
      <c r="B11" s="200"/>
      <c r="C11" s="201" t="s">
        <v>162</v>
      </c>
      <c r="D11" s="201"/>
      <c r="E11" s="38" t="s">
        <v>41</v>
      </c>
      <c r="F11" s="38">
        <v>18</v>
      </c>
      <c r="G11" s="38" t="s">
        <v>76</v>
      </c>
      <c r="H11" s="38" t="s">
        <v>18</v>
      </c>
      <c r="I11" s="41" t="s">
        <v>77</v>
      </c>
      <c r="J11" s="41" t="s">
        <v>34</v>
      </c>
      <c r="K11" s="38" t="s">
        <v>88</v>
      </c>
    </row>
    <row r="12" spans="1:11" ht="120" x14ac:dyDescent="0.2">
      <c r="A12" s="174"/>
      <c r="B12" s="185"/>
      <c r="C12" s="185"/>
      <c r="D12" s="185"/>
      <c r="E12" s="43" t="s">
        <v>171</v>
      </c>
      <c r="F12" s="38">
        <v>10</v>
      </c>
      <c r="G12" s="38" t="s">
        <v>76</v>
      </c>
      <c r="H12" s="38" t="s">
        <v>18</v>
      </c>
      <c r="I12" s="41" t="s">
        <v>172</v>
      </c>
      <c r="J12" s="41" t="s">
        <v>34</v>
      </c>
      <c r="K12" s="38" t="s">
        <v>180</v>
      </c>
    </row>
    <row r="13" spans="1:11" ht="90" x14ac:dyDescent="0.2">
      <c r="A13" s="174"/>
      <c r="B13" s="186"/>
      <c r="C13" s="186"/>
      <c r="D13" s="186"/>
      <c r="E13" s="38" t="s">
        <v>186</v>
      </c>
      <c r="F13" s="38">
        <v>6</v>
      </c>
      <c r="G13" s="38" t="s">
        <v>76</v>
      </c>
      <c r="H13" s="38" t="s">
        <v>18</v>
      </c>
      <c r="I13" s="41" t="s">
        <v>187</v>
      </c>
      <c r="J13" s="41" t="s">
        <v>34</v>
      </c>
      <c r="K13" s="38" t="s">
        <v>189</v>
      </c>
    </row>
    <row r="14" spans="1:11" ht="90" x14ac:dyDescent="0.2">
      <c r="A14" s="67">
        <v>5</v>
      </c>
      <c r="B14" s="9"/>
      <c r="C14" s="11" t="s">
        <v>190</v>
      </c>
      <c r="D14" s="11"/>
      <c r="E14" s="38" t="s">
        <v>191</v>
      </c>
      <c r="F14" s="38">
        <v>12</v>
      </c>
      <c r="G14" s="38" t="s">
        <v>193</v>
      </c>
      <c r="H14" s="38" t="s">
        <v>18</v>
      </c>
      <c r="I14" s="41" t="s">
        <v>194</v>
      </c>
      <c r="J14" s="41" t="s">
        <v>34</v>
      </c>
      <c r="K14" s="38" t="s">
        <v>206</v>
      </c>
    </row>
    <row r="15" spans="1:11" ht="15.75" customHeight="1" x14ac:dyDescent="0.2">
      <c r="A15" s="2">
        <v>6</v>
      </c>
      <c r="B15" s="9"/>
      <c r="C15" s="77" t="s">
        <v>14</v>
      </c>
      <c r="D15" s="77" t="s">
        <v>15</v>
      </c>
      <c r="E15" s="12" t="s">
        <v>16</v>
      </c>
      <c r="F15" s="12">
        <v>16</v>
      </c>
      <c r="G15" s="12" t="s">
        <v>17</v>
      </c>
      <c r="H15" s="12" t="s">
        <v>18</v>
      </c>
      <c r="I15" s="16" t="s">
        <v>19</v>
      </c>
      <c r="J15" s="22" t="s">
        <v>34</v>
      </c>
      <c r="K15" s="12" t="s">
        <v>44</v>
      </c>
    </row>
    <row r="16" spans="1:11" ht="15.75" customHeight="1" x14ac:dyDescent="0.2">
      <c r="A16" s="184">
        <v>7</v>
      </c>
      <c r="B16" s="200"/>
      <c r="C16" s="199" t="s">
        <v>109</v>
      </c>
      <c r="D16" s="199" t="s">
        <v>110</v>
      </c>
      <c r="E16" s="78" t="s">
        <v>111</v>
      </c>
      <c r="F16" s="12">
        <v>20</v>
      </c>
      <c r="G16" s="12" t="s">
        <v>112</v>
      </c>
      <c r="H16" s="12" t="s">
        <v>18</v>
      </c>
      <c r="I16" s="16" t="s">
        <v>113</v>
      </c>
      <c r="J16" s="22" t="s">
        <v>34</v>
      </c>
      <c r="K16" s="12" t="s">
        <v>125</v>
      </c>
    </row>
    <row r="17" spans="1:11" ht="15.75" customHeight="1" x14ac:dyDescent="0.2">
      <c r="A17" s="185"/>
      <c r="B17" s="185"/>
      <c r="C17" s="185"/>
      <c r="D17" s="185"/>
      <c r="E17" s="78" t="s">
        <v>127</v>
      </c>
      <c r="F17" s="12">
        <v>20</v>
      </c>
      <c r="G17" s="12" t="s">
        <v>112</v>
      </c>
      <c r="H17" s="12" t="s">
        <v>18</v>
      </c>
      <c r="I17" s="16" t="s">
        <v>128</v>
      </c>
      <c r="J17" s="22" t="s">
        <v>34</v>
      </c>
      <c r="K17" s="12" t="s">
        <v>130</v>
      </c>
    </row>
    <row r="18" spans="1:11" ht="15.75" customHeight="1" x14ac:dyDescent="0.2">
      <c r="A18" s="186"/>
      <c r="B18" s="186"/>
      <c r="C18" s="186"/>
      <c r="D18" s="186"/>
      <c r="E18" s="78" t="s">
        <v>131</v>
      </c>
      <c r="F18" s="12">
        <v>20</v>
      </c>
      <c r="G18" s="12" t="s">
        <v>112</v>
      </c>
      <c r="H18" s="12" t="s">
        <v>18</v>
      </c>
      <c r="I18" s="16" t="s">
        <v>132</v>
      </c>
      <c r="J18" s="22" t="s">
        <v>34</v>
      </c>
      <c r="K18" s="12" t="s">
        <v>142</v>
      </c>
    </row>
    <row r="19" spans="1:11" ht="60" x14ac:dyDescent="0.2">
      <c r="A19" s="2">
        <v>8</v>
      </c>
      <c r="B19" s="9"/>
      <c r="C19" s="77" t="s">
        <v>178</v>
      </c>
      <c r="D19" s="12" t="s">
        <v>179</v>
      </c>
      <c r="E19" s="12" t="s">
        <v>181</v>
      </c>
      <c r="F19" s="12">
        <v>16</v>
      </c>
      <c r="G19" s="12" t="s">
        <v>182</v>
      </c>
      <c r="H19" s="12" t="s">
        <v>18</v>
      </c>
      <c r="I19" s="16" t="s">
        <v>183</v>
      </c>
      <c r="J19" s="22" t="s">
        <v>34</v>
      </c>
      <c r="K19" s="12" t="s">
        <v>188</v>
      </c>
    </row>
    <row r="20" spans="1:11" ht="105" x14ac:dyDescent="0.2">
      <c r="A20" s="184">
        <v>9</v>
      </c>
      <c r="B20" s="200"/>
      <c r="C20" s="199" t="s">
        <v>236</v>
      </c>
      <c r="D20" s="199" t="s">
        <v>236</v>
      </c>
      <c r="E20" s="38" t="s">
        <v>237</v>
      </c>
      <c r="F20" s="38">
        <v>10</v>
      </c>
      <c r="G20" s="38" t="s">
        <v>238</v>
      </c>
      <c r="H20" s="38" t="s">
        <v>18</v>
      </c>
      <c r="I20" s="41" t="s">
        <v>239</v>
      </c>
      <c r="J20" s="41" t="s">
        <v>34</v>
      </c>
      <c r="K20" s="38" t="s">
        <v>242</v>
      </c>
    </row>
    <row r="21" spans="1:11" ht="75" x14ac:dyDescent="0.2">
      <c r="A21" s="185"/>
      <c r="B21" s="185"/>
      <c r="C21" s="185"/>
      <c r="D21" s="185"/>
      <c r="E21" s="38" t="s">
        <v>243</v>
      </c>
      <c r="F21" s="38">
        <v>18</v>
      </c>
      <c r="G21" s="38" t="s">
        <v>238</v>
      </c>
      <c r="H21" s="38" t="s">
        <v>18</v>
      </c>
      <c r="I21" s="41" t="s">
        <v>244</v>
      </c>
      <c r="J21" s="41" t="s">
        <v>34</v>
      </c>
      <c r="K21" s="38" t="s">
        <v>245</v>
      </c>
    </row>
    <row r="22" spans="1:11" ht="90" x14ac:dyDescent="0.2">
      <c r="A22" s="94">
        <v>10</v>
      </c>
      <c r="B22" s="185"/>
      <c r="C22" s="77" t="s">
        <v>259</v>
      </c>
      <c r="D22" s="77"/>
      <c r="E22" s="38" t="s">
        <v>250</v>
      </c>
      <c r="F22" s="38">
        <v>20</v>
      </c>
      <c r="G22" s="38" t="s">
        <v>260</v>
      </c>
      <c r="H22" s="38" t="s">
        <v>18</v>
      </c>
      <c r="I22" s="41" t="s">
        <v>261</v>
      </c>
      <c r="J22" s="41" t="s">
        <v>34</v>
      </c>
      <c r="K22" s="38" t="s">
        <v>248</v>
      </c>
    </row>
    <row r="23" spans="1:11" ht="135" x14ac:dyDescent="0.2">
      <c r="A23" s="94">
        <v>11</v>
      </c>
      <c r="B23" s="185"/>
      <c r="C23" s="77" t="s">
        <v>265</v>
      </c>
      <c r="D23" s="77"/>
      <c r="E23" s="43" t="s">
        <v>257</v>
      </c>
      <c r="F23" s="38">
        <v>20</v>
      </c>
      <c r="G23" s="38" t="s">
        <v>266</v>
      </c>
      <c r="H23" s="38" t="s">
        <v>18</v>
      </c>
      <c r="I23" s="41" t="s">
        <v>267</v>
      </c>
      <c r="J23" s="41" t="s">
        <v>34</v>
      </c>
      <c r="K23" s="38" t="s">
        <v>256</v>
      </c>
    </row>
    <row r="24" spans="1:11" ht="15.75" customHeight="1" x14ac:dyDescent="0.2">
      <c r="A24" s="204">
        <v>12</v>
      </c>
      <c r="B24" s="185"/>
      <c r="C24" s="202" t="s">
        <v>148</v>
      </c>
      <c r="D24" s="202" t="s">
        <v>149</v>
      </c>
      <c r="E24" s="38" t="s">
        <v>83</v>
      </c>
      <c r="F24" s="38">
        <v>20</v>
      </c>
      <c r="G24" s="38" t="s">
        <v>120</v>
      </c>
      <c r="H24" s="38" t="s">
        <v>18</v>
      </c>
      <c r="I24" s="99" t="s">
        <v>122</v>
      </c>
      <c r="J24" s="100" t="s">
        <v>34</v>
      </c>
      <c r="K24" s="38" t="s">
        <v>129</v>
      </c>
    </row>
    <row r="25" spans="1:11" ht="15.75" customHeight="1" x14ac:dyDescent="0.2">
      <c r="A25" s="185"/>
      <c r="B25" s="185"/>
      <c r="C25" s="186"/>
      <c r="D25" s="186"/>
      <c r="E25" s="38" t="s">
        <v>94</v>
      </c>
      <c r="F25" s="38">
        <v>20</v>
      </c>
      <c r="G25" s="38" t="s">
        <v>139</v>
      </c>
      <c r="H25" s="38" t="s">
        <v>18</v>
      </c>
      <c r="I25" s="99" t="s">
        <v>140</v>
      </c>
      <c r="J25" s="100" t="s">
        <v>34</v>
      </c>
      <c r="K25" s="38" t="s">
        <v>129</v>
      </c>
    </row>
    <row r="26" spans="1:11" ht="105" x14ac:dyDescent="0.2">
      <c r="A26" s="204">
        <v>13</v>
      </c>
      <c r="B26" s="185"/>
      <c r="C26" s="202" t="s">
        <v>281</v>
      </c>
      <c r="D26" s="202" t="s">
        <v>282</v>
      </c>
      <c r="E26" s="38" t="s">
        <v>219</v>
      </c>
      <c r="F26" s="38">
        <v>20</v>
      </c>
      <c r="G26" s="38" t="s">
        <v>220</v>
      </c>
      <c r="H26" s="38" t="s">
        <v>18</v>
      </c>
      <c r="I26" s="41" t="s">
        <v>221</v>
      </c>
      <c r="J26" s="41" t="s">
        <v>34</v>
      </c>
      <c r="K26" s="38" t="s">
        <v>225</v>
      </c>
    </row>
    <row r="27" spans="1:11" ht="90" x14ac:dyDescent="0.2">
      <c r="A27" s="185"/>
      <c r="B27" s="185"/>
      <c r="C27" s="186"/>
      <c r="D27" s="186"/>
      <c r="E27" s="38" t="s">
        <v>226</v>
      </c>
      <c r="F27" s="38">
        <v>20</v>
      </c>
      <c r="G27" s="38" t="s">
        <v>220</v>
      </c>
      <c r="H27" s="38" t="s">
        <v>18</v>
      </c>
      <c r="I27" s="41" t="s">
        <v>227</v>
      </c>
      <c r="J27" s="41" t="s">
        <v>34</v>
      </c>
      <c r="K27" s="38" t="s">
        <v>230</v>
      </c>
    </row>
    <row r="28" spans="1:11" ht="75" x14ac:dyDescent="0.2">
      <c r="A28" s="204">
        <v>14</v>
      </c>
      <c r="B28" s="185"/>
      <c r="C28" s="202" t="s">
        <v>288</v>
      </c>
      <c r="D28" s="202"/>
      <c r="E28" s="38" t="s">
        <v>290</v>
      </c>
      <c r="F28" s="38">
        <v>20</v>
      </c>
      <c r="G28" s="38" t="s">
        <v>153</v>
      </c>
      <c r="H28" s="38" t="s">
        <v>18</v>
      </c>
      <c r="I28" s="41" t="s">
        <v>291</v>
      </c>
      <c r="J28" s="41" t="s">
        <v>34</v>
      </c>
      <c r="K28" s="38" t="s">
        <v>246</v>
      </c>
    </row>
    <row r="29" spans="1:11" ht="60" x14ac:dyDescent="0.2">
      <c r="A29" s="185"/>
      <c r="B29" s="185"/>
      <c r="C29" s="186"/>
      <c r="D29" s="186"/>
      <c r="E29" s="38" t="s">
        <v>97</v>
      </c>
      <c r="F29" s="38">
        <v>20</v>
      </c>
      <c r="G29" s="38" t="s">
        <v>153</v>
      </c>
      <c r="H29" s="38" t="s">
        <v>18</v>
      </c>
      <c r="I29" s="41" t="s">
        <v>154</v>
      </c>
      <c r="J29" s="41" t="s">
        <v>34</v>
      </c>
      <c r="K29" s="38" t="s">
        <v>129</v>
      </c>
    </row>
    <row r="30" spans="1:11" ht="120" x14ac:dyDescent="0.2">
      <c r="A30" s="94">
        <v>15</v>
      </c>
      <c r="B30" s="185"/>
      <c r="C30" s="106" t="s">
        <v>295</v>
      </c>
      <c r="D30" s="106"/>
      <c r="E30" s="38" t="s">
        <v>247</v>
      </c>
      <c r="F30" s="38">
        <v>20</v>
      </c>
      <c r="G30" s="38" t="s">
        <v>296</v>
      </c>
      <c r="H30" s="38" t="s">
        <v>18</v>
      </c>
      <c r="I30" s="41" t="s">
        <v>297</v>
      </c>
      <c r="J30" s="41" t="s">
        <v>34</v>
      </c>
      <c r="K30" s="38" t="s">
        <v>125</v>
      </c>
    </row>
    <row r="31" spans="1:11" ht="15" x14ac:dyDescent="0.2">
      <c r="A31" s="204">
        <v>16</v>
      </c>
      <c r="B31" s="185"/>
      <c r="C31" s="202" t="s">
        <v>300</v>
      </c>
      <c r="D31" s="202"/>
      <c r="E31" s="108" t="s">
        <v>301</v>
      </c>
      <c r="F31" s="38">
        <v>12</v>
      </c>
      <c r="G31" s="38" t="s">
        <v>163</v>
      </c>
      <c r="H31" s="38" t="s">
        <v>18</v>
      </c>
      <c r="I31" s="41" t="s">
        <v>302</v>
      </c>
      <c r="J31" s="41" t="s">
        <v>34</v>
      </c>
      <c r="K31" s="38" t="s">
        <v>251</v>
      </c>
    </row>
    <row r="32" spans="1:11" ht="60" x14ac:dyDescent="0.2">
      <c r="A32" s="185"/>
      <c r="B32" s="185"/>
      <c r="C32" s="185"/>
      <c r="D32" s="185"/>
      <c r="E32" s="38" t="s">
        <v>98</v>
      </c>
      <c r="F32" s="38">
        <v>12</v>
      </c>
      <c r="G32" s="38" t="s">
        <v>163</v>
      </c>
      <c r="H32" s="38" t="s">
        <v>18</v>
      </c>
      <c r="I32" s="41" t="s">
        <v>164</v>
      </c>
      <c r="J32" s="41" t="s">
        <v>34</v>
      </c>
      <c r="K32" s="38" t="s">
        <v>170</v>
      </c>
    </row>
    <row r="33" spans="1:11" ht="135" x14ac:dyDescent="0.2">
      <c r="A33" s="185"/>
      <c r="B33" s="185"/>
      <c r="C33" s="186"/>
      <c r="D33" s="186"/>
      <c r="E33" s="43" t="s">
        <v>253</v>
      </c>
      <c r="F33" s="38">
        <v>2</v>
      </c>
      <c r="G33" s="38" t="s">
        <v>163</v>
      </c>
      <c r="H33" s="38" t="s">
        <v>18</v>
      </c>
      <c r="I33" s="41" t="s">
        <v>307</v>
      </c>
      <c r="J33" s="41" t="s">
        <v>34</v>
      </c>
      <c r="K33" s="38" t="s">
        <v>252</v>
      </c>
    </row>
    <row r="34" spans="1:11" ht="45" x14ac:dyDescent="0.2">
      <c r="A34" s="204">
        <v>17</v>
      </c>
      <c r="B34" s="185"/>
      <c r="C34" s="205" t="s">
        <v>309</v>
      </c>
      <c r="D34" s="109" t="s">
        <v>309</v>
      </c>
      <c r="E34" s="38" t="s">
        <v>108</v>
      </c>
      <c r="F34" s="38">
        <v>10</v>
      </c>
      <c r="G34" s="38" t="s">
        <v>223</v>
      </c>
      <c r="H34" s="38" t="s">
        <v>18</v>
      </c>
      <c r="I34" s="41" t="s">
        <v>224</v>
      </c>
      <c r="J34" s="41" t="s">
        <v>34</v>
      </c>
      <c r="K34" s="38" t="s">
        <v>228</v>
      </c>
    </row>
    <row r="35" spans="1:11" ht="60" x14ac:dyDescent="0.2">
      <c r="A35" s="185"/>
      <c r="B35" s="186"/>
      <c r="C35" s="186"/>
      <c r="D35" s="110" t="s">
        <v>309</v>
      </c>
      <c r="E35" s="38" t="s">
        <v>114</v>
      </c>
      <c r="F35" s="38">
        <v>10</v>
      </c>
      <c r="G35" s="38" t="s">
        <v>223</v>
      </c>
      <c r="H35" s="38" t="s">
        <v>18</v>
      </c>
      <c r="I35" s="41" t="s">
        <v>233</v>
      </c>
      <c r="J35" s="41" t="s">
        <v>34</v>
      </c>
      <c r="K35" s="38" t="s">
        <v>234</v>
      </c>
    </row>
    <row r="36" spans="1:11" ht="15.75" customHeight="1" x14ac:dyDescent="0.2">
      <c r="A36" s="184">
        <v>18</v>
      </c>
      <c r="B36" s="200"/>
      <c r="C36" s="203" t="s">
        <v>47</v>
      </c>
      <c r="D36" s="203" t="s">
        <v>54</v>
      </c>
      <c r="E36" s="12" t="s">
        <v>60</v>
      </c>
      <c r="F36" s="12">
        <v>5</v>
      </c>
      <c r="G36" s="12" t="s">
        <v>65</v>
      </c>
      <c r="H36" s="12" t="s">
        <v>18</v>
      </c>
      <c r="I36" s="16" t="s">
        <v>66</v>
      </c>
      <c r="J36" s="22" t="s">
        <v>34</v>
      </c>
      <c r="K36" s="12" t="s">
        <v>73</v>
      </c>
    </row>
    <row r="37" spans="1:11" ht="45" x14ac:dyDescent="0.2">
      <c r="A37" s="185"/>
      <c r="B37" s="185"/>
      <c r="C37" s="185"/>
      <c r="D37" s="185"/>
      <c r="E37" s="12" t="s">
        <v>78</v>
      </c>
      <c r="F37" s="12">
        <v>20</v>
      </c>
      <c r="G37" s="12" t="s">
        <v>65</v>
      </c>
      <c r="H37" s="12" t="s">
        <v>18</v>
      </c>
      <c r="I37" s="16" t="s">
        <v>79</v>
      </c>
      <c r="J37" s="22" t="s">
        <v>34</v>
      </c>
      <c r="K37" s="12" t="s">
        <v>85</v>
      </c>
    </row>
    <row r="38" spans="1:11" ht="120" x14ac:dyDescent="0.2">
      <c r="A38" s="185"/>
      <c r="B38" s="185"/>
      <c r="C38" s="185"/>
      <c r="D38" s="185"/>
      <c r="E38" s="12" t="s">
        <v>87</v>
      </c>
      <c r="F38" s="12">
        <v>15</v>
      </c>
      <c r="G38" s="12" t="s">
        <v>65</v>
      </c>
      <c r="H38" s="12" t="s">
        <v>18</v>
      </c>
      <c r="I38" s="16" t="s">
        <v>93</v>
      </c>
      <c r="J38" s="22" t="s">
        <v>34</v>
      </c>
      <c r="K38" s="12" t="s">
        <v>100</v>
      </c>
    </row>
    <row r="39" spans="1:11" ht="90" x14ac:dyDescent="0.2">
      <c r="A39" s="186"/>
      <c r="B39" s="186"/>
      <c r="C39" s="186"/>
      <c r="D39" s="186"/>
      <c r="E39" s="12" t="s">
        <v>101</v>
      </c>
      <c r="F39" s="12">
        <v>10</v>
      </c>
      <c r="G39" s="12" t="s">
        <v>65</v>
      </c>
      <c r="H39" s="12" t="s">
        <v>18</v>
      </c>
      <c r="I39" s="16" t="s">
        <v>102</v>
      </c>
      <c r="J39" s="22" t="s">
        <v>34</v>
      </c>
      <c r="K39" s="12" t="s">
        <v>106</v>
      </c>
    </row>
    <row r="40" spans="1:11" ht="120" x14ac:dyDescent="0.2">
      <c r="A40" s="184">
        <v>19</v>
      </c>
      <c r="C40" s="203" t="s">
        <v>192</v>
      </c>
      <c r="D40" s="203" t="s">
        <v>195</v>
      </c>
      <c r="E40" s="12" t="s">
        <v>199</v>
      </c>
      <c r="F40" s="12">
        <v>18</v>
      </c>
      <c r="G40" s="12" t="s">
        <v>202</v>
      </c>
      <c r="H40" s="12" t="s">
        <v>18</v>
      </c>
      <c r="I40" s="22" t="s">
        <v>205</v>
      </c>
      <c r="J40" s="22" t="s">
        <v>34</v>
      </c>
      <c r="K40" s="12" t="s">
        <v>207</v>
      </c>
    </row>
    <row r="41" spans="1:11" ht="120" x14ac:dyDescent="0.2">
      <c r="A41" s="185"/>
      <c r="C41" s="185"/>
      <c r="D41" s="185"/>
      <c r="E41" s="12" t="s">
        <v>208</v>
      </c>
      <c r="F41" s="12">
        <v>20</v>
      </c>
      <c r="G41" s="12" t="s">
        <v>202</v>
      </c>
      <c r="H41" s="12" t="s">
        <v>18</v>
      </c>
      <c r="I41" s="22" t="s">
        <v>210</v>
      </c>
      <c r="J41" s="22" t="s">
        <v>34</v>
      </c>
      <c r="K41" s="12" t="s">
        <v>125</v>
      </c>
    </row>
    <row r="42" spans="1:11" ht="120" x14ac:dyDescent="0.2">
      <c r="A42" s="186"/>
      <c r="C42" s="186"/>
      <c r="D42" s="186"/>
      <c r="E42" s="12" t="s">
        <v>213</v>
      </c>
      <c r="F42" s="12">
        <v>20</v>
      </c>
      <c r="G42" s="12" t="s">
        <v>202</v>
      </c>
      <c r="H42" s="12" t="s">
        <v>18</v>
      </c>
      <c r="I42" s="22" t="s">
        <v>214</v>
      </c>
      <c r="J42" s="22" t="s">
        <v>34</v>
      </c>
      <c r="K42" s="12" t="s">
        <v>125</v>
      </c>
    </row>
    <row r="43" spans="1:11" ht="120" x14ac:dyDescent="0.2">
      <c r="A43" s="2">
        <v>20</v>
      </c>
      <c r="B43" s="9"/>
      <c r="C43" s="119" t="s">
        <v>165</v>
      </c>
      <c r="D43" s="119" t="s">
        <v>166</v>
      </c>
      <c r="E43" s="119" t="s">
        <v>167</v>
      </c>
      <c r="F43" s="119">
        <v>12</v>
      </c>
      <c r="G43" s="119" t="s">
        <v>168</v>
      </c>
      <c r="H43" s="119" t="s">
        <v>18</v>
      </c>
      <c r="I43" s="120" t="s">
        <v>169</v>
      </c>
      <c r="J43" s="121" t="s">
        <v>34</v>
      </c>
      <c r="K43" s="119" t="s">
        <v>176</v>
      </c>
    </row>
    <row r="44" spans="1:11" ht="45" x14ac:dyDescent="0.2">
      <c r="A44" s="2">
        <v>21</v>
      </c>
      <c r="C44" s="119" t="s">
        <v>341</v>
      </c>
      <c r="D44" s="119"/>
      <c r="E44" s="38" t="s">
        <v>103</v>
      </c>
      <c r="F44" s="38">
        <v>20</v>
      </c>
      <c r="G44" s="38" t="s">
        <v>203</v>
      </c>
      <c r="H44" s="38" t="s">
        <v>18</v>
      </c>
      <c r="I44" s="41" t="s">
        <v>204</v>
      </c>
      <c r="J44" s="41" t="s">
        <v>34</v>
      </c>
      <c r="K44" s="38" t="s">
        <v>85</v>
      </c>
    </row>
    <row r="45" spans="1:11" ht="90" x14ac:dyDescent="0.2">
      <c r="A45" s="184">
        <v>22</v>
      </c>
      <c r="B45" s="200"/>
      <c r="C45" s="209" t="s">
        <v>344</v>
      </c>
      <c r="D45" s="209"/>
      <c r="E45" s="38" t="s">
        <v>331</v>
      </c>
      <c r="F45" s="38">
        <v>16</v>
      </c>
      <c r="G45" s="38" t="s">
        <v>332</v>
      </c>
      <c r="H45" s="38" t="s">
        <v>18</v>
      </c>
      <c r="I45" s="41" t="s">
        <v>333</v>
      </c>
      <c r="J45" s="41" t="s">
        <v>34</v>
      </c>
      <c r="K45" s="38" t="s">
        <v>254</v>
      </c>
    </row>
    <row r="46" spans="1:11" ht="165" x14ac:dyDescent="0.2">
      <c r="A46" s="186"/>
      <c r="B46" s="186"/>
      <c r="C46" s="186"/>
      <c r="D46" s="186"/>
      <c r="E46" s="43" t="s">
        <v>335</v>
      </c>
      <c r="F46" s="128">
        <v>2</v>
      </c>
      <c r="G46" s="128" t="s">
        <v>332</v>
      </c>
      <c r="H46" s="128" t="s">
        <v>18</v>
      </c>
      <c r="I46" s="132" t="s">
        <v>336</v>
      </c>
      <c r="J46" s="132" t="s">
        <v>34</v>
      </c>
      <c r="K46" s="128" t="s">
        <v>255</v>
      </c>
    </row>
    <row r="47" spans="1:11" ht="12.75" x14ac:dyDescent="0.2">
      <c r="A47" s="134"/>
    </row>
    <row r="48" spans="1:11" ht="23.25" x14ac:dyDescent="0.35">
      <c r="A48" s="134"/>
      <c r="F48" s="135">
        <f>SUM(F2:F46)</f>
        <v>664</v>
      </c>
    </row>
    <row r="49" spans="1:9" ht="12.75" x14ac:dyDescent="0.2">
      <c r="A49" s="134"/>
    </row>
    <row r="50" spans="1:9" ht="12.75" x14ac:dyDescent="0.2">
      <c r="A50" s="134"/>
    </row>
    <row r="51" spans="1:9" ht="12.75" x14ac:dyDescent="0.2">
      <c r="A51" s="134"/>
    </row>
    <row r="52" spans="1:9" ht="21.75" x14ac:dyDescent="0.3">
      <c r="A52" s="134"/>
      <c r="F52" s="137" t="s">
        <v>353</v>
      </c>
      <c r="G52" s="137" t="s">
        <v>1</v>
      </c>
      <c r="H52" s="137" t="s">
        <v>355</v>
      </c>
      <c r="I52" s="137" t="s">
        <v>356</v>
      </c>
    </row>
    <row r="53" spans="1:9" ht="23.25" x14ac:dyDescent="0.35">
      <c r="A53" s="134"/>
      <c r="E53" s="139" t="s">
        <v>361</v>
      </c>
      <c r="F53" s="147">
        <f>F2+F3+F4+F5+F6+F7+F8+F9+F10+F11+F12+F13+F14+F15+F16+F17+F18+F19+F20+F21+F22+F23+F24+F25+F26+F27+F28+F29+F30+F31+F32+F33+F34+F35+F36+F37+F38+F39+F40+F41+F42+F44+F45</f>
        <v>650</v>
      </c>
      <c r="G53" s="114">
        <v>43</v>
      </c>
      <c r="H53" s="150">
        <f>F53/F48</f>
        <v>0.97891566265060237</v>
      </c>
      <c r="I53" s="150">
        <f t="shared" ref="I53:I55" si="0">G53/45</f>
        <v>0.9555555555555556</v>
      </c>
    </row>
    <row r="54" spans="1:9" ht="23.25" x14ac:dyDescent="0.35">
      <c r="A54" s="134"/>
      <c r="E54" s="139" t="s">
        <v>379</v>
      </c>
      <c r="F54" s="151">
        <f>F43+F46</f>
        <v>14</v>
      </c>
      <c r="G54" s="154">
        <f>F46</f>
        <v>2</v>
      </c>
      <c r="H54" s="150">
        <f>F54/F48</f>
        <v>2.1084337349397589E-2</v>
      </c>
      <c r="I54" s="150">
        <f t="shared" si="0"/>
        <v>4.4444444444444446E-2</v>
      </c>
    </row>
    <row r="55" spans="1:9" ht="23.25" x14ac:dyDescent="0.35">
      <c r="A55" s="134"/>
      <c r="E55" s="139" t="s">
        <v>388</v>
      </c>
      <c r="F55" s="159">
        <v>0</v>
      </c>
      <c r="G55" s="160">
        <v>0</v>
      </c>
      <c r="H55" s="150">
        <f>F55/F48</f>
        <v>0</v>
      </c>
      <c r="I55" s="150">
        <f t="shared" si="0"/>
        <v>0</v>
      </c>
    </row>
    <row r="56" spans="1:9" ht="23.25" x14ac:dyDescent="0.35">
      <c r="A56" s="134"/>
      <c r="F56" s="161">
        <f t="shared" ref="F56:G56" si="1">SUM(F53:F55)</f>
        <v>664</v>
      </c>
      <c r="G56" s="162">
        <f t="shared" si="1"/>
        <v>45</v>
      </c>
    </row>
    <row r="57" spans="1:9" ht="12.75" x14ac:dyDescent="0.2">
      <c r="A57" s="134"/>
    </row>
    <row r="58" spans="1:9" ht="12.75" x14ac:dyDescent="0.2">
      <c r="A58" s="134"/>
    </row>
    <row r="59" spans="1:9" ht="12.75" x14ac:dyDescent="0.2">
      <c r="A59" s="134"/>
    </row>
    <row r="60" spans="1:9" ht="12.75" x14ac:dyDescent="0.2">
      <c r="A60" s="134"/>
    </row>
    <row r="61" spans="1:9" ht="12.75" x14ac:dyDescent="0.2">
      <c r="A61" s="134"/>
    </row>
    <row r="62" spans="1:9" ht="12.75" x14ac:dyDescent="0.2">
      <c r="A62" s="134"/>
    </row>
    <row r="63" spans="1:9" ht="12.75" x14ac:dyDescent="0.2">
      <c r="A63" s="134"/>
    </row>
    <row r="64" spans="1:9" ht="12.75" x14ac:dyDescent="0.2">
      <c r="A64" s="134"/>
    </row>
    <row r="65" spans="1:1" ht="12.75" x14ac:dyDescent="0.2">
      <c r="A65" s="134"/>
    </row>
    <row r="66" spans="1:1" ht="12.75" x14ac:dyDescent="0.2">
      <c r="A66" s="134"/>
    </row>
    <row r="67" spans="1:1" ht="12.75" x14ac:dyDescent="0.2">
      <c r="A67" s="134"/>
    </row>
    <row r="68" spans="1:1" ht="12.75" x14ac:dyDescent="0.2">
      <c r="A68" s="134"/>
    </row>
    <row r="69" spans="1:1" ht="12.75" x14ac:dyDescent="0.2">
      <c r="A69" s="134"/>
    </row>
    <row r="70" spans="1:1" ht="12.75" x14ac:dyDescent="0.2">
      <c r="A70" s="134"/>
    </row>
    <row r="71" spans="1:1" ht="12.75" x14ac:dyDescent="0.2">
      <c r="A71" s="134"/>
    </row>
    <row r="72" spans="1:1" ht="12.75" x14ac:dyDescent="0.2">
      <c r="A72" s="134"/>
    </row>
    <row r="73" spans="1:1" ht="12.75" x14ac:dyDescent="0.2">
      <c r="A73" s="134"/>
    </row>
    <row r="74" spans="1:1" ht="12.75" x14ac:dyDescent="0.2">
      <c r="A74" s="134"/>
    </row>
    <row r="75" spans="1:1" ht="12.75" x14ac:dyDescent="0.2">
      <c r="A75" s="134"/>
    </row>
    <row r="76" spans="1:1" ht="12.75" x14ac:dyDescent="0.2">
      <c r="A76" s="134"/>
    </row>
    <row r="77" spans="1:1" ht="12.75" x14ac:dyDescent="0.2">
      <c r="A77" s="134"/>
    </row>
    <row r="78" spans="1:1" ht="12.75" x14ac:dyDescent="0.2">
      <c r="A78" s="134"/>
    </row>
    <row r="79" spans="1:1" ht="12.75" x14ac:dyDescent="0.2">
      <c r="A79" s="134"/>
    </row>
    <row r="80" spans="1:1" ht="12.75" x14ac:dyDescent="0.2">
      <c r="A80" s="134"/>
    </row>
    <row r="81" spans="1:1" ht="12.75" x14ac:dyDescent="0.2">
      <c r="A81" s="134"/>
    </row>
    <row r="82" spans="1:1" ht="12.75" x14ac:dyDescent="0.2">
      <c r="A82" s="134"/>
    </row>
    <row r="83" spans="1:1" ht="12.75" x14ac:dyDescent="0.2">
      <c r="A83" s="134"/>
    </row>
    <row r="84" spans="1:1" ht="12.75" x14ac:dyDescent="0.2">
      <c r="A84" s="134"/>
    </row>
    <row r="85" spans="1:1" ht="12.75" x14ac:dyDescent="0.2">
      <c r="A85" s="134"/>
    </row>
    <row r="86" spans="1:1" ht="12.75" x14ac:dyDescent="0.2">
      <c r="A86" s="134"/>
    </row>
    <row r="87" spans="1:1" ht="12.75" x14ac:dyDescent="0.2">
      <c r="A87" s="134"/>
    </row>
    <row r="88" spans="1:1" ht="12.75" x14ac:dyDescent="0.2">
      <c r="A88" s="134"/>
    </row>
    <row r="89" spans="1:1" ht="12.75" x14ac:dyDescent="0.2">
      <c r="A89" s="134"/>
    </row>
    <row r="90" spans="1:1" ht="12.75" x14ac:dyDescent="0.2">
      <c r="A90" s="134"/>
    </row>
    <row r="91" spans="1:1" ht="12.75" x14ac:dyDescent="0.2">
      <c r="A91" s="134"/>
    </row>
    <row r="92" spans="1:1" ht="12.75" x14ac:dyDescent="0.2">
      <c r="A92" s="134"/>
    </row>
    <row r="93" spans="1:1" ht="12.75" x14ac:dyDescent="0.2">
      <c r="A93" s="134"/>
    </row>
    <row r="94" spans="1:1" ht="12.75" x14ac:dyDescent="0.2">
      <c r="A94" s="134"/>
    </row>
    <row r="95" spans="1:1" ht="12.75" x14ac:dyDescent="0.2">
      <c r="A95" s="134"/>
    </row>
    <row r="96" spans="1:1" ht="12.75" x14ac:dyDescent="0.2">
      <c r="A96" s="134"/>
    </row>
    <row r="97" spans="1:1" ht="12.75" x14ac:dyDescent="0.2">
      <c r="A97" s="134"/>
    </row>
    <row r="98" spans="1:1" ht="12.75" x14ac:dyDescent="0.2">
      <c r="A98" s="134"/>
    </row>
    <row r="99" spans="1:1" ht="12.75" x14ac:dyDescent="0.2">
      <c r="A99" s="134"/>
    </row>
    <row r="100" spans="1:1" ht="12.75" x14ac:dyDescent="0.2">
      <c r="A100" s="134"/>
    </row>
    <row r="101" spans="1:1" ht="12.75" x14ac:dyDescent="0.2">
      <c r="A101" s="134"/>
    </row>
    <row r="102" spans="1:1" ht="12.75" x14ac:dyDescent="0.2">
      <c r="A102" s="134"/>
    </row>
    <row r="103" spans="1:1" ht="12.75" x14ac:dyDescent="0.2">
      <c r="A103" s="134"/>
    </row>
    <row r="104" spans="1:1" ht="12.75" x14ac:dyDescent="0.2">
      <c r="A104" s="134"/>
    </row>
    <row r="105" spans="1:1" ht="12.75" x14ac:dyDescent="0.2">
      <c r="A105" s="134"/>
    </row>
    <row r="106" spans="1:1" ht="12.75" x14ac:dyDescent="0.2">
      <c r="A106" s="134"/>
    </row>
    <row r="107" spans="1:1" ht="12.75" x14ac:dyDescent="0.2">
      <c r="A107" s="134"/>
    </row>
    <row r="108" spans="1:1" ht="12.75" x14ac:dyDescent="0.2">
      <c r="A108" s="134"/>
    </row>
    <row r="109" spans="1:1" ht="12.75" x14ac:dyDescent="0.2">
      <c r="A109" s="134"/>
    </row>
    <row r="110" spans="1:1" ht="12.75" x14ac:dyDescent="0.2">
      <c r="A110" s="134"/>
    </row>
    <row r="111" spans="1:1" ht="12.75" x14ac:dyDescent="0.2">
      <c r="A111" s="134"/>
    </row>
    <row r="112" spans="1:1" ht="12.75" x14ac:dyDescent="0.2">
      <c r="A112" s="134"/>
    </row>
    <row r="113" spans="1:1" ht="12.75" x14ac:dyDescent="0.2">
      <c r="A113" s="134"/>
    </row>
    <row r="114" spans="1:1" ht="12.75" x14ac:dyDescent="0.2">
      <c r="A114" s="134"/>
    </row>
    <row r="115" spans="1:1" ht="12.75" x14ac:dyDescent="0.2">
      <c r="A115" s="134"/>
    </row>
    <row r="116" spans="1:1" ht="12.75" x14ac:dyDescent="0.2">
      <c r="A116" s="134"/>
    </row>
    <row r="117" spans="1:1" ht="12.75" x14ac:dyDescent="0.2">
      <c r="A117" s="134"/>
    </row>
    <row r="118" spans="1:1" ht="12.75" x14ac:dyDescent="0.2">
      <c r="A118" s="134"/>
    </row>
    <row r="119" spans="1:1" ht="12.75" x14ac:dyDescent="0.2">
      <c r="A119" s="134"/>
    </row>
    <row r="120" spans="1:1" ht="12.75" x14ac:dyDescent="0.2">
      <c r="A120" s="134"/>
    </row>
    <row r="121" spans="1:1" ht="12.75" x14ac:dyDescent="0.2">
      <c r="A121" s="134"/>
    </row>
    <row r="122" spans="1:1" ht="12.75" x14ac:dyDescent="0.2">
      <c r="A122" s="134"/>
    </row>
    <row r="123" spans="1:1" ht="12.75" x14ac:dyDescent="0.2">
      <c r="A123" s="134"/>
    </row>
    <row r="124" spans="1:1" ht="12.75" x14ac:dyDescent="0.2">
      <c r="A124" s="134"/>
    </row>
    <row r="125" spans="1:1" ht="12.75" x14ac:dyDescent="0.2">
      <c r="A125" s="134"/>
    </row>
    <row r="126" spans="1:1" ht="12.75" x14ac:dyDescent="0.2">
      <c r="A126" s="134"/>
    </row>
    <row r="127" spans="1:1" ht="12.75" x14ac:dyDescent="0.2">
      <c r="A127" s="134"/>
    </row>
    <row r="128" spans="1:1" ht="12.75" x14ac:dyDescent="0.2">
      <c r="A128" s="134"/>
    </row>
    <row r="129" spans="1:1" ht="12.75" x14ac:dyDescent="0.2">
      <c r="A129" s="134"/>
    </row>
    <row r="130" spans="1:1" ht="12.75" x14ac:dyDescent="0.2">
      <c r="A130" s="134"/>
    </row>
    <row r="131" spans="1:1" ht="12.75" x14ac:dyDescent="0.2">
      <c r="A131" s="134"/>
    </row>
    <row r="132" spans="1:1" ht="12.75" x14ac:dyDescent="0.2">
      <c r="A132" s="134"/>
    </row>
    <row r="133" spans="1:1" ht="12.75" x14ac:dyDescent="0.2">
      <c r="A133" s="134"/>
    </row>
    <row r="134" spans="1:1" ht="12.75" x14ac:dyDescent="0.2">
      <c r="A134" s="134"/>
    </row>
    <row r="135" spans="1:1" ht="12.75" x14ac:dyDescent="0.2">
      <c r="A135" s="134"/>
    </row>
    <row r="136" spans="1:1" ht="12.75" x14ac:dyDescent="0.2">
      <c r="A136" s="134"/>
    </row>
    <row r="137" spans="1:1" ht="12.75" x14ac:dyDescent="0.2">
      <c r="A137" s="134"/>
    </row>
    <row r="138" spans="1:1" ht="12.75" x14ac:dyDescent="0.2">
      <c r="A138" s="134"/>
    </row>
    <row r="139" spans="1:1" ht="12.75" x14ac:dyDescent="0.2">
      <c r="A139" s="134"/>
    </row>
    <row r="140" spans="1:1" ht="12.75" x14ac:dyDescent="0.2">
      <c r="A140" s="134"/>
    </row>
    <row r="141" spans="1:1" ht="12.75" x14ac:dyDescent="0.2">
      <c r="A141" s="134"/>
    </row>
    <row r="142" spans="1:1" ht="12.75" x14ac:dyDescent="0.2">
      <c r="A142" s="134"/>
    </row>
    <row r="143" spans="1:1" ht="12.75" x14ac:dyDescent="0.2">
      <c r="A143" s="134"/>
    </row>
    <row r="144" spans="1:1" ht="12.75" x14ac:dyDescent="0.2">
      <c r="A144" s="134"/>
    </row>
    <row r="145" spans="1:1" ht="12.75" x14ac:dyDescent="0.2">
      <c r="A145" s="134"/>
    </row>
    <row r="146" spans="1:1" ht="12.75" x14ac:dyDescent="0.2">
      <c r="A146" s="134"/>
    </row>
    <row r="147" spans="1:1" ht="12.75" x14ac:dyDescent="0.2">
      <c r="A147" s="134"/>
    </row>
    <row r="148" spans="1:1" ht="12.75" x14ac:dyDescent="0.2">
      <c r="A148" s="134"/>
    </row>
    <row r="149" spans="1:1" ht="12.75" x14ac:dyDescent="0.2">
      <c r="A149" s="134"/>
    </row>
    <row r="150" spans="1:1" ht="12.75" x14ac:dyDescent="0.2">
      <c r="A150" s="134"/>
    </row>
    <row r="151" spans="1:1" ht="12.75" x14ac:dyDescent="0.2">
      <c r="A151" s="134"/>
    </row>
    <row r="152" spans="1:1" ht="12.75" x14ac:dyDescent="0.2">
      <c r="A152" s="134"/>
    </row>
    <row r="153" spans="1:1" ht="12.75" x14ac:dyDescent="0.2">
      <c r="A153" s="134"/>
    </row>
    <row r="154" spans="1:1" ht="12.75" x14ac:dyDescent="0.2">
      <c r="A154" s="134"/>
    </row>
    <row r="155" spans="1:1" ht="12.75" x14ac:dyDescent="0.2">
      <c r="A155" s="134"/>
    </row>
    <row r="156" spans="1:1" ht="12.75" x14ac:dyDescent="0.2">
      <c r="A156" s="134"/>
    </row>
    <row r="157" spans="1:1" ht="12.75" x14ac:dyDescent="0.2">
      <c r="A157" s="134"/>
    </row>
    <row r="158" spans="1:1" ht="12.75" x14ac:dyDescent="0.2">
      <c r="A158" s="134"/>
    </row>
    <row r="159" spans="1:1" ht="12.75" x14ac:dyDescent="0.2">
      <c r="A159" s="134"/>
    </row>
    <row r="160" spans="1:1" ht="12.75" x14ac:dyDescent="0.2">
      <c r="A160" s="134"/>
    </row>
    <row r="161" spans="1:1" ht="12.75" x14ac:dyDescent="0.2">
      <c r="A161" s="134"/>
    </row>
    <row r="162" spans="1:1" ht="12.75" x14ac:dyDescent="0.2">
      <c r="A162" s="134"/>
    </row>
    <row r="163" spans="1:1" ht="12.75" x14ac:dyDescent="0.2">
      <c r="A163" s="134"/>
    </row>
    <row r="164" spans="1:1" ht="12.75" x14ac:dyDescent="0.2">
      <c r="A164" s="134"/>
    </row>
    <row r="165" spans="1:1" ht="12.75" x14ac:dyDescent="0.2">
      <c r="A165" s="134"/>
    </row>
    <row r="166" spans="1:1" ht="12.75" x14ac:dyDescent="0.2">
      <c r="A166" s="134"/>
    </row>
    <row r="167" spans="1:1" ht="12.75" x14ac:dyDescent="0.2">
      <c r="A167" s="134"/>
    </row>
    <row r="168" spans="1:1" ht="12.75" x14ac:dyDescent="0.2">
      <c r="A168" s="134"/>
    </row>
    <row r="169" spans="1:1" ht="12.75" x14ac:dyDescent="0.2">
      <c r="A169" s="134"/>
    </row>
    <row r="170" spans="1:1" ht="12.75" x14ac:dyDescent="0.2">
      <c r="A170" s="134"/>
    </row>
    <row r="171" spans="1:1" ht="12.75" x14ac:dyDescent="0.2">
      <c r="A171" s="134"/>
    </row>
    <row r="172" spans="1:1" ht="12.75" x14ac:dyDescent="0.2">
      <c r="A172" s="134"/>
    </row>
    <row r="173" spans="1:1" ht="12.75" x14ac:dyDescent="0.2">
      <c r="A173" s="134"/>
    </row>
    <row r="174" spans="1:1" ht="12.75" x14ac:dyDescent="0.2">
      <c r="A174" s="134"/>
    </row>
    <row r="175" spans="1:1" ht="12.75" x14ac:dyDescent="0.2">
      <c r="A175" s="134"/>
    </row>
    <row r="176" spans="1:1" ht="12.75" x14ac:dyDescent="0.2">
      <c r="A176" s="134"/>
    </row>
    <row r="177" spans="1:1" ht="12.75" x14ac:dyDescent="0.2">
      <c r="A177" s="134"/>
    </row>
    <row r="178" spans="1:1" ht="12.75" x14ac:dyDescent="0.2">
      <c r="A178" s="134"/>
    </row>
    <row r="179" spans="1:1" ht="12.75" x14ac:dyDescent="0.2">
      <c r="A179" s="134"/>
    </row>
    <row r="180" spans="1:1" ht="12.75" x14ac:dyDescent="0.2">
      <c r="A180" s="134"/>
    </row>
    <row r="181" spans="1:1" ht="12.75" x14ac:dyDescent="0.2">
      <c r="A181" s="134"/>
    </row>
    <row r="182" spans="1:1" ht="12.75" x14ac:dyDescent="0.2">
      <c r="A182" s="134"/>
    </row>
    <row r="183" spans="1:1" ht="12.75" x14ac:dyDescent="0.2">
      <c r="A183" s="134"/>
    </row>
    <row r="184" spans="1:1" ht="12.75" x14ac:dyDescent="0.2">
      <c r="A184" s="134"/>
    </row>
    <row r="185" spans="1:1" ht="12.75" x14ac:dyDescent="0.2">
      <c r="A185" s="134"/>
    </row>
    <row r="186" spans="1:1" ht="12.75" x14ac:dyDescent="0.2">
      <c r="A186" s="134"/>
    </row>
    <row r="187" spans="1:1" ht="12.75" x14ac:dyDescent="0.2">
      <c r="A187" s="134"/>
    </row>
    <row r="188" spans="1:1" ht="12.75" x14ac:dyDescent="0.2">
      <c r="A188" s="134"/>
    </row>
    <row r="189" spans="1:1" ht="12.75" x14ac:dyDescent="0.2">
      <c r="A189" s="134"/>
    </row>
    <row r="190" spans="1:1" ht="12.75" x14ac:dyDescent="0.2">
      <c r="A190" s="134"/>
    </row>
    <row r="191" spans="1:1" ht="12.75" x14ac:dyDescent="0.2">
      <c r="A191" s="134"/>
    </row>
    <row r="192" spans="1:1" ht="12.75" x14ac:dyDescent="0.2">
      <c r="A192" s="134"/>
    </row>
    <row r="193" spans="1:1" ht="12.75" x14ac:dyDescent="0.2">
      <c r="A193" s="134"/>
    </row>
    <row r="194" spans="1:1" ht="12.75" x14ac:dyDescent="0.2">
      <c r="A194" s="134"/>
    </row>
    <row r="195" spans="1:1" ht="12.75" x14ac:dyDescent="0.2">
      <c r="A195" s="134"/>
    </row>
    <row r="196" spans="1:1" ht="12.75" x14ac:dyDescent="0.2">
      <c r="A196" s="134"/>
    </row>
    <row r="197" spans="1:1" ht="12.75" x14ac:dyDescent="0.2">
      <c r="A197" s="134"/>
    </row>
    <row r="198" spans="1:1" ht="12.75" x14ac:dyDescent="0.2">
      <c r="A198" s="134"/>
    </row>
    <row r="199" spans="1:1" ht="12.75" x14ac:dyDescent="0.2">
      <c r="A199" s="134"/>
    </row>
    <row r="200" spans="1:1" ht="12.75" x14ac:dyDescent="0.2">
      <c r="A200" s="134"/>
    </row>
    <row r="201" spans="1:1" ht="12.75" x14ac:dyDescent="0.2">
      <c r="A201" s="134"/>
    </row>
    <row r="202" spans="1:1" ht="12.75" x14ac:dyDescent="0.2">
      <c r="A202" s="134"/>
    </row>
    <row r="203" spans="1:1" ht="12.75" x14ac:dyDescent="0.2">
      <c r="A203" s="134"/>
    </row>
    <row r="204" spans="1:1" ht="12.75" x14ac:dyDescent="0.2">
      <c r="A204" s="134"/>
    </row>
    <row r="205" spans="1:1" ht="12.75" x14ac:dyDescent="0.2">
      <c r="A205" s="134"/>
    </row>
    <row r="206" spans="1:1" ht="12.75" x14ac:dyDescent="0.2">
      <c r="A206" s="134"/>
    </row>
    <row r="207" spans="1:1" ht="12.75" x14ac:dyDescent="0.2">
      <c r="A207" s="134"/>
    </row>
    <row r="208" spans="1:1" ht="12.75" x14ac:dyDescent="0.2">
      <c r="A208" s="134"/>
    </row>
    <row r="209" spans="1:1" ht="12.75" x14ac:dyDescent="0.2">
      <c r="A209" s="134"/>
    </row>
    <row r="210" spans="1:1" ht="12.75" x14ac:dyDescent="0.2">
      <c r="A210" s="134"/>
    </row>
    <row r="211" spans="1:1" ht="12.75" x14ac:dyDescent="0.2">
      <c r="A211" s="134"/>
    </row>
    <row r="212" spans="1:1" ht="12.75" x14ac:dyDescent="0.2">
      <c r="A212" s="134"/>
    </row>
    <row r="213" spans="1:1" ht="12.75" x14ac:dyDescent="0.2">
      <c r="A213" s="134"/>
    </row>
    <row r="214" spans="1:1" ht="12.75" x14ac:dyDescent="0.2">
      <c r="A214" s="134"/>
    </row>
    <row r="215" spans="1:1" ht="12.75" x14ac:dyDescent="0.2">
      <c r="A215" s="134"/>
    </row>
    <row r="216" spans="1:1" ht="12.75" x14ac:dyDescent="0.2">
      <c r="A216" s="134"/>
    </row>
    <row r="217" spans="1:1" ht="12.75" x14ac:dyDescent="0.2">
      <c r="A217" s="134"/>
    </row>
    <row r="218" spans="1:1" ht="12.75" x14ac:dyDescent="0.2">
      <c r="A218" s="134"/>
    </row>
    <row r="219" spans="1:1" ht="12.75" x14ac:dyDescent="0.2">
      <c r="A219" s="134"/>
    </row>
    <row r="220" spans="1:1" ht="12.75" x14ac:dyDescent="0.2">
      <c r="A220" s="134"/>
    </row>
    <row r="221" spans="1:1" ht="12.75" x14ac:dyDescent="0.2">
      <c r="A221" s="134"/>
    </row>
    <row r="222" spans="1:1" ht="12.75" x14ac:dyDescent="0.2">
      <c r="A222" s="134"/>
    </row>
    <row r="223" spans="1:1" ht="12.75" x14ac:dyDescent="0.2">
      <c r="A223" s="134"/>
    </row>
    <row r="224" spans="1:1" ht="12.75" x14ac:dyDescent="0.2">
      <c r="A224" s="134"/>
    </row>
    <row r="225" spans="1:1" ht="12.75" x14ac:dyDescent="0.2">
      <c r="A225" s="134"/>
    </row>
    <row r="226" spans="1:1" ht="12.75" x14ac:dyDescent="0.2">
      <c r="A226" s="134"/>
    </row>
    <row r="227" spans="1:1" ht="12.75" x14ac:dyDescent="0.2">
      <c r="A227" s="134"/>
    </row>
    <row r="228" spans="1:1" ht="12.75" x14ac:dyDescent="0.2">
      <c r="A228" s="134"/>
    </row>
    <row r="229" spans="1:1" ht="12.75" x14ac:dyDescent="0.2">
      <c r="A229" s="134"/>
    </row>
    <row r="230" spans="1:1" ht="12.75" x14ac:dyDescent="0.2">
      <c r="A230" s="134"/>
    </row>
    <row r="231" spans="1:1" ht="12.75" x14ac:dyDescent="0.2">
      <c r="A231" s="134"/>
    </row>
    <row r="232" spans="1:1" ht="12.75" x14ac:dyDescent="0.2">
      <c r="A232" s="134"/>
    </row>
    <row r="233" spans="1:1" ht="12.75" x14ac:dyDescent="0.2">
      <c r="A233" s="134"/>
    </row>
    <row r="234" spans="1:1" ht="12.75" x14ac:dyDescent="0.2">
      <c r="A234" s="134"/>
    </row>
    <row r="235" spans="1:1" ht="12.75" x14ac:dyDescent="0.2">
      <c r="A235" s="134"/>
    </row>
    <row r="236" spans="1:1" ht="12.75" x14ac:dyDescent="0.2">
      <c r="A236" s="134"/>
    </row>
    <row r="237" spans="1:1" ht="12.75" x14ac:dyDescent="0.2">
      <c r="A237" s="134"/>
    </row>
    <row r="238" spans="1:1" ht="12.75" x14ac:dyDescent="0.2">
      <c r="A238" s="134"/>
    </row>
    <row r="239" spans="1:1" ht="12.75" x14ac:dyDescent="0.2">
      <c r="A239" s="134"/>
    </row>
    <row r="240" spans="1:1" ht="12.75" x14ac:dyDescent="0.2">
      <c r="A240" s="134"/>
    </row>
    <row r="241" spans="1:1" ht="12.75" x14ac:dyDescent="0.2">
      <c r="A241" s="134"/>
    </row>
    <row r="242" spans="1:1" ht="12.75" x14ac:dyDescent="0.2">
      <c r="A242" s="134"/>
    </row>
    <row r="243" spans="1:1" ht="12.75" x14ac:dyDescent="0.2">
      <c r="A243" s="134"/>
    </row>
    <row r="244" spans="1:1" ht="12.75" x14ac:dyDescent="0.2">
      <c r="A244" s="134"/>
    </row>
    <row r="245" spans="1:1" ht="12.75" x14ac:dyDescent="0.2">
      <c r="A245" s="134"/>
    </row>
    <row r="246" spans="1:1" ht="12.75" x14ac:dyDescent="0.2">
      <c r="A246" s="134"/>
    </row>
    <row r="247" spans="1:1" ht="12.75" x14ac:dyDescent="0.2">
      <c r="A247" s="134"/>
    </row>
    <row r="248" spans="1:1" ht="12.75" x14ac:dyDescent="0.2">
      <c r="A248" s="134"/>
    </row>
    <row r="249" spans="1:1" ht="12.75" x14ac:dyDescent="0.2">
      <c r="A249" s="134"/>
    </row>
    <row r="250" spans="1:1" ht="12.75" x14ac:dyDescent="0.2">
      <c r="A250" s="134"/>
    </row>
    <row r="251" spans="1:1" ht="12.75" x14ac:dyDescent="0.2">
      <c r="A251" s="134"/>
    </row>
    <row r="252" spans="1:1" ht="12.75" x14ac:dyDescent="0.2">
      <c r="A252" s="134"/>
    </row>
    <row r="253" spans="1:1" ht="12.75" x14ac:dyDescent="0.2">
      <c r="A253" s="134"/>
    </row>
    <row r="254" spans="1:1" ht="12.75" x14ac:dyDescent="0.2">
      <c r="A254" s="134"/>
    </row>
    <row r="255" spans="1:1" ht="12.75" x14ac:dyDescent="0.2">
      <c r="A255" s="134"/>
    </row>
    <row r="256" spans="1:1" ht="12.75" x14ac:dyDescent="0.2">
      <c r="A256" s="134"/>
    </row>
    <row r="257" spans="1:1" ht="12.75" x14ac:dyDescent="0.2">
      <c r="A257" s="134"/>
    </row>
    <row r="258" spans="1:1" ht="12.75" x14ac:dyDescent="0.2">
      <c r="A258" s="134"/>
    </row>
    <row r="259" spans="1:1" ht="12.75" x14ac:dyDescent="0.2">
      <c r="A259" s="134"/>
    </row>
    <row r="260" spans="1:1" ht="12.75" x14ac:dyDescent="0.2">
      <c r="A260" s="134"/>
    </row>
    <row r="261" spans="1:1" ht="12.75" x14ac:dyDescent="0.2">
      <c r="A261" s="134"/>
    </row>
    <row r="262" spans="1:1" ht="12.75" x14ac:dyDescent="0.2">
      <c r="A262" s="134"/>
    </row>
    <row r="263" spans="1:1" ht="12.75" x14ac:dyDescent="0.2">
      <c r="A263" s="134"/>
    </row>
    <row r="264" spans="1:1" ht="12.75" x14ac:dyDescent="0.2">
      <c r="A264" s="134"/>
    </row>
    <row r="265" spans="1:1" ht="12.75" x14ac:dyDescent="0.2">
      <c r="A265" s="134"/>
    </row>
    <row r="266" spans="1:1" ht="12.75" x14ac:dyDescent="0.2">
      <c r="A266" s="134"/>
    </row>
    <row r="267" spans="1:1" ht="12.75" x14ac:dyDescent="0.2">
      <c r="A267" s="134"/>
    </row>
    <row r="268" spans="1:1" ht="12.75" x14ac:dyDescent="0.2">
      <c r="A268" s="134"/>
    </row>
    <row r="269" spans="1:1" ht="12.75" x14ac:dyDescent="0.2">
      <c r="A269" s="134"/>
    </row>
    <row r="270" spans="1:1" ht="12.75" x14ac:dyDescent="0.2">
      <c r="A270" s="134"/>
    </row>
    <row r="271" spans="1:1" ht="12.75" x14ac:dyDescent="0.2">
      <c r="A271" s="134"/>
    </row>
    <row r="272" spans="1:1" ht="12.75" x14ac:dyDescent="0.2">
      <c r="A272" s="134"/>
    </row>
    <row r="273" spans="1:1" ht="12.75" x14ac:dyDescent="0.2">
      <c r="A273" s="134"/>
    </row>
    <row r="274" spans="1:1" ht="12.75" x14ac:dyDescent="0.2">
      <c r="A274" s="134"/>
    </row>
    <row r="275" spans="1:1" ht="12.75" x14ac:dyDescent="0.2">
      <c r="A275" s="134"/>
    </row>
    <row r="276" spans="1:1" ht="12.75" x14ac:dyDescent="0.2">
      <c r="A276" s="134"/>
    </row>
    <row r="277" spans="1:1" ht="12.75" x14ac:dyDescent="0.2">
      <c r="A277" s="134"/>
    </row>
    <row r="278" spans="1:1" ht="12.75" x14ac:dyDescent="0.2">
      <c r="A278" s="134"/>
    </row>
    <row r="279" spans="1:1" ht="12.75" x14ac:dyDescent="0.2">
      <c r="A279" s="134"/>
    </row>
    <row r="280" spans="1:1" ht="12.75" x14ac:dyDescent="0.2">
      <c r="A280" s="134"/>
    </row>
    <row r="281" spans="1:1" ht="12.75" x14ac:dyDescent="0.2">
      <c r="A281" s="134"/>
    </row>
    <row r="282" spans="1:1" ht="12.75" x14ac:dyDescent="0.2">
      <c r="A282" s="134"/>
    </row>
    <row r="283" spans="1:1" ht="12.75" x14ac:dyDescent="0.2">
      <c r="A283" s="134"/>
    </row>
    <row r="284" spans="1:1" ht="12.75" x14ac:dyDescent="0.2">
      <c r="A284" s="134"/>
    </row>
    <row r="285" spans="1:1" ht="12.75" x14ac:dyDescent="0.2">
      <c r="A285" s="134"/>
    </row>
    <row r="286" spans="1:1" ht="12.75" x14ac:dyDescent="0.2">
      <c r="A286" s="134"/>
    </row>
    <row r="287" spans="1:1" ht="12.75" x14ac:dyDescent="0.2">
      <c r="A287" s="134"/>
    </row>
    <row r="288" spans="1:1" ht="12.75" x14ac:dyDescent="0.2">
      <c r="A288" s="134"/>
    </row>
    <row r="289" spans="1:1" ht="12.75" x14ac:dyDescent="0.2">
      <c r="A289" s="134"/>
    </row>
    <row r="290" spans="1:1" ht="12.75" x14ac:dyDescent="0.2">
      <c r="A290" s="134"/>
    </row>
    <row r="291" spans="1:1" ht="12.75" x14ac:dyDescent="0.2">
      <c r="A291" s="134"/>
    </row>
    <row r="292" spans="1:1" ht="12.75" x14ac:dyDescent="0.2">
      <c r="A292" s="134"/>
    </row>
    <row r="293" spans="1:1" ht="12.75" x14ac:dyDescent="0.2">
      <c r="A293" s="134"/>
    </row>
    <row r="294" spans="1:1" ht="12.75" x14ac:dyDescent="0.2">
      <c r="A294" s="134"/>
    </row>
    <row r="295" spans="1:1" ht="12.75" x14ac:dyDescent="0.2">
      <c r="A295" s="134"/>
    </row>
    <row r="296" spans="1:1" ht="12.75" x14ac:dyDescent="0.2">
      <c r="A296" s="134"/>
    </row>
    <row r="297" spans="1:1" ht="12.75" x14ac:dyDescent="0.2">
      <c r="A297" s="134"/>
    </row>
    <row r="298" spans="1:1" ht="12.75" x14ac:dyDescent="0.2">
      <c r="A298" s="134"/>
    </row>
    <row r="299" spans="1:1" ht="12.75" x14ac:dyDescent="0.2">
      <c r="A299" s="134"/>
    </row>
    <row r="300" spans="1:1" ht="12.75" x14ac:dyDescent="0.2">
      <c r="A300" s="134"/>
    </row>
    <row r="301" spans="1:1" ht="12.75" x14ac:dyDescent="0.2">
      <c r="A301" s="134"/>
    </row>
    <row r="302" spans="1:1" ht="12.75" x14ac:dyDescent="0.2">
      <c r="A302" s="134"/>
    </row>
    <row r="303" spans="1:1" ht="12.75" x14ac:dyDescent="0.2">
      <c r="A303" s="134"/>
    </row>
    <row r="304" spans="1:1" ht="12.75" x14ac:dyDescent="0.2">
      <c r="A304" s="134"/>
    </row>
    <row r="305" spans="1:1" ht="12.75" x14ac:dyDescent="0.2">
      <c r="A305" s="134"/>
    </row>
    <row r="306" spans="1:1" ht="12.75" x14ac:dyDescent="0.2">
      <c r="A306" s="134"/>
    </row>
    <row r="307" spans="1:1" ht="12.75" x14ac:dyDescent="0.2">
      <c r="A307" s="134"/>
    </row>
    <row r="308" spans="1:1" ht="12.75" x14ac:dyDescent="0.2">
      <c r="A308" s="134"/>
    </row>
    <row r="309" spans="1:1" ht="12.75" x14ac:dyDescent="0.2">
      <c r="A309" s="134"/>
    </row>
    <row r="310" spans="1:1" ht="12.75" x14ac:dyDescent="0.2">
      <c r="A310" s="134"/>
    </row>
    <row r="311" spans="1:1" ht="12.75" x14ac:dyDescent="0.2">
      <c r="A311" s="134"/>
    </row>
    <row r="312" spans="1:1" ht="12.75" x14ac:dyDescent="0.2">
      <c r="A312" s="134"/>
    </row>
    <row r="313" spans="1:1" ht="12.75" x14ac:dyDescent="0.2">
      <c r="A313" s="134"/>
    </row>
    <row r="314" spans="1:1" ht="12.75" x14ac:dyDescent="0.2">
      <c r="A314" s="134"/>
    </row>
    <row r="315" spans="1:1" ht="12.75" x14ac:dyDescent="0.2">
      <c r="A315" s="134"/>
    </row>
    <row r="316" spans="1:1" ht="12.75" x14ac:dyDescent="0.2">
      <c r="A316" s="134"/>
    </row>
    <row r="317" spans="1:1" ht="12.75" x14ac:dyDescent="0.2">
      <c r="A317" s="134"/>
    </row>
    <row r="318" spans="1:1" ht="12.75" x14ac:dyDescent="0.2">
      <c r="A318" s="134"/>
    </row>
    <row r="319" spans="1:1" ht="12.75" x14ac:dyDescent="0.2">
      <c r="A319" s="134"/>
    </row>
    <row r="320" spans="1:1" ht="12.75" x14ac:dyDescent="0.2">
      <c r="A320" s="134"/>
    </row>
    <row r="321" spans="1:1" ht="12.75" x14ac:dyDescent="0.2">
      <c r="A321" s="134"/>
    </row>
    <row r="322" spans="1:1" ht="12.75" x14ac:dyDescent="0.2">
      <c r="A322" s="134"/>
    </row>
    <row r="323" spans="1:1" ht="12.75" x14ac:dyDescent="0.2">
      <c r="A323" s="134"/>
    </row>
    <row r="324" spans="1:1" ht="12.75" x14ac:dyDescent="0.2">
      <c r="A324" s="134"/>
    </row>
    <row r="325" spans="1:1" ht="12.75" x14ac:dyDescent="0.2">
      <c r="A325" s="134"/>
    </row>
    <row r="326" spans="1:1" ht="12.75" x14ac:dyDescent="0.2">
      <c r="A326" s="134"/>
    </row>
    <row r="327" spans="1:1" ht="12.75" x14ac:dyDescent="0.2">
      <c r="A327" s="134"/>
    </row>
    <row r="328" spans="1:1" ht="12.75" x14ac:dyDescent="0.2">
      <c r="A328" s="134"/>
    </row>
    <row r="329" spans="1:1" ht="12.75" x14ac:dyDescent="0.2">
      <c r="A329" s="134"/>
    </row>
    <row r="330" spans="1:1" ht="12.75" x14ac:dyDescent="0.2">
      <c r="A330" s="134"/>
    </row>
    <row r="331" spans="1:1" ht="12.75" x14ac:dyDescent="0.2">
      <c r="A331" s="134"/>
    </row>
    <row r="332" spans="1:1" ht="12.75" x14ac:dyDescent="0.2">
      <c r="A332" s="134"/>
    </row>
    <row r="333" spans="1:1" ht="12.75" x14ac:dyDescent="0.2">
      <c r="A333" s="134"/>
    </row>
    <row r="334" spans="1:1" ht="12.75" x14ac:dyDescent="0.2">
      <c r="A334" s="134"/>
    </row>
    <row r="335" spans="1:1" ht="12.75" x14ac:dyDescent="0.2">
      <c r="A335" s="134"/>
    </row>
    <row r="336" spans="1:1" ht="12.75" x14ac:dyDescent="0.2">
      <c r="A336" s="134"/>
    </row>
    <row r="337" spans="1:1" ht="12.75" x14ac:dyDescent="0.2">
      <c r="A337" s="134"/>
    </row>
    <row r="338" spans="1:1" ht="12.75" x14ac:dyDescent="0.2">
      <c r="A338" s="134"/>
    </row>
    <row r="339" spans="1:1" ht="12.75" x14ac:dyDescent="0.2">
      <c r="A339" s="134"/>
    </row>
    <row r="340" spans="1:1" ht="12.75" x14ac:dyDescent="0.2">
      <c r="A340" s="134"/>
    </row>
    <row r="341" spans="1:1" ht="12.75" x14ac:dyDescent="0.2">
      <c r="A341" s="134"/>
    </row>
    <row r="342" spans="1:1" ht="12.75" x14ac:dyDescent="0.2">
      <c r="A342" s="134"/>
    </row>
    <row r="343" spans="1:1" ht="12.75" x14ac:dyDescent="0.2">
      <c r="A343" s="134"/>
    </row>
    <row r="344" spans="1:1" ht="12.75" x14ac:dyDescent="0.2">
      <c r="A344" s="134"/>
    </row>
    <row r="345" spans="1:1" ht="12.75" x14ac:dyDescent="0.2">
      <c r="A345" s="134"/>
    </row>
    <row r="346" spans="1:1" ht="12.75" x14ac:dyDescent="0.2">
      <c r="A346" s="134"/>
    </row>
    <row r="347" spans="1:1" ht="12.75" x14ac:dyDescent="0.2">
      <c r="A347" s="134"/>
    </row>
    <row r="348" spans="1:1" ht="12.75" x14ac:dyDescent="0.2">
      <c r="A348" s="134"/>
    </row>
    <row r="349" spans="1:1" ht="12.75" x14ac:dyDescent="0.2">
      <c r="A349" s="134"/>
    </row>
    <row r="350" spans="1:1" ht="12.75" x14ac:dyDescent="0.2">
      <c r="A350" s="134"/>
    </row>
    <row r="351" spans="1:1" ht="12.75" x14ac:dyDescent="0.2">
      <c r="A351" s="134"/>
    </row>
    <row r="352" spans="1:1" ht="12.75" x14ac:dyDescent="0.2">
      <c r="A352" s="134"/>
    </row>
    <row r="353" spans="1:1" ht="12.75" x14ac:dyDescent="0.2">
      <c r="A353" s="134"/>
    </row>
    <row r="354" spans="1:1" ht="12.75" x14ac:dyDescent="0.2">
      <c r="A354" s="134"/>
    </row>
    <row r="355" spans="1:1" ht="12.75" x14ac:dyDescent="0.2">
      <c r="A355" s="134"/>
    </row>
    <row r="356" spans="1:1" ht="12.75" x14ac:dyDescent="0.2">
      <c r="A356" s="134"/>
    </row>
    <row r="357" spans="1:1" ht="12.75" x14ac:dyDescent="0.2">
      <c r="A357" s="134"/>
    </row>
    <row r="358" spans="1:1" ht="12.75" x14ac:dyDescent="0.2">
      <c r="A358" s="134"/>
    </row>
    <row r="359" spans="1:1" ht="12.75" x14ac:dyDescent="0.2">
      <c r="A359" s="134"/>
    </row>
    <row r="360" spans="1:1" ht="12.75" x14ac:dyDescent="0.2">
      <c r="A360" s="134"/>
    </row>
    <row r="361" spans="1:1" ht="12.75" x14ac:dyDescent="0.2">
      <c r="A361" s="134"/>
    </row>
    <row r="362" spans="1:1" ht="12.75" x14ac:dyDescent="0.2">
      <c r="A362" s="134"/>
    </row>
    <row r="363" spans="1:1" ht="12.75" x14ac:dyDescent="0.2">
      <c r="A363" s="134"/>
    </row>
    <row r="364" spans="1:1" ht="12.75" x14ac:dyDescent="0.2">
      <c r="A364" s="134"/>
    </row>
    <row r="365" spans="1:1" ht="12.75" x14ac:dyDescent="0.2">
      <c r="A365" s="134"/>
    </row>
    <row r="366" spans="1:1" ht="12.75" x14ac:dyDescent="0.2">
      <c r="A366" s="134"/>
    </row>
    <row r="367" spans="1:1" ht="12.75" x14ac:dyDescent="0.2">
      <c r="A367" s="134"/>
    </row>
    <row r="368" spans="1:1" ht="12.75" x14ac:dyDescent="0.2">
      <c r="A368" s="134"/>
    </row>
    <row r="369" spans="1:1" ht="12.75" x14ac:dyDescent="0.2">
      <c r="A369" s="134"/>
    </row>
    <row r="370" spans="1:1" ht="12.75" x14ac:dyDescent="0.2">
      <c r="A370" s="134"/>
    </row>
    <row r="371" spans="1:1" ht="12.75" x14ac:dyDescent="0.2">
      <c r="A371" s="134"/>
    </row>
    <row r="372" spans="1:1" ht="12.75" x14ac:dyDescent="0.2">
      <c r="A372" s="134"/>
    </row>
    <row r="373" spans="1:1" ht="12.75" x14ac:dyDescent="0.2">
      <c r="A373" s="134"/>
    </row>
    <row r="374" spans="1:1" ht="12.75" x14ac:dyDescent="0.2">
      <c r="A374" s="134"/>
    </row>
    <row r="375" spans="1:1" ht="12.75" x14ac:dyDescent="0.2">
      <c r="A375" s="134"/>
    </row>
    <row r="376" spans="1:1" ht="12.75" x14ac:dyDescent="0.2">
      <c r="A376" s="134"/>
    </row>
    <row r="377" spans="1:1" ht="12.75" x14ac:dyDescent="0.2">
      <c r="A377" s="134"/>
    </row>
    <row r="378" spans="1:1" ht="12.75" x14ac:dyDescent="0.2">
      <c r="A378" s="134"/>
    </row>
    <row r="379" spans="1:1" ht="12.75" x14ac:dyDescent="0.2">
      <c r="A379" s="134"/>
    </row>
    <row r="380" spans="1:1" ht="12.75" x14ac:dyDescent="0.2">
      <c r="A380" s="134"/>
    </row>
    <row r="381" spans="1:1" ht="12.75" x14ac:dyDescent="0.2">
      <c r="A381" s="134"/>
    </row>
    <row r="382" spans="1:1" ht="12.75" x14ac:dyDescent="0.2">
      <c r="A382" s="134"/>
    </row>
    <row r="383" spans="1:1" ht="12.75" x14ac:dyDescent="0.2">
      <c r="A383" s="134"/>
    </row>
    <row r="384" spans="1:1" ht="12.75" x14ac:dyDescent="0.2">
      <c r="A384" s="134"/>
    </row>
    <row r="385" spans="1:1" ht="12.75" x14ac:dyDescent="0.2">
      <c r="A385" s="134"/>
    </row>
    <row r="386" spans="1:1" ht="12.75" x14ac:dyDescent="0.2">
      <c r="A386" s="134"/>
    </row>
    <row r="387" spans="1:1" ht="12.75" x14ac:dyDescent="0.2">
      <c r="A387" s="134"/>
    </row>
    <row r="388" spans="1:1" ht="12.75" x14ac:dyDescent="0.2">
      <c r="A388" s="134"/>
    </row>
    <row r="389" spans="1:1" ht="12.75" x14ac:dyDescent="0.2">
      <c r="A389" s="134"/>
    </row>
    <row r="390" spans="1:1" ht="12.75" x14ac:dyDescent="0.2">
      <c r="A390" s="134"/>
    </row>
    <row r="391" spans="1:1" ht="12.75" x14ac:dyDescent="0.2">
      <c r="A391" s="134"/>
    </row>
    <row r="392" spans="1:1" ht="12.75" x14ac:dyDescent="0.2">
      <c r="A392" s="134"/>
    </row>
    <row r="393" spans="1:1" ht="12.75" x14ac:dyDescent="0.2">
      <c r="A393" s="134"/>
    </row>
    <row r="394" spans="1:1" ht="12.75" x14ac:dyDescent="0.2">
      <c r="A394" s="134"/>
    </row>
    <row r="395" spans="1:1" ht="12.75" x14ac:dyDescent="0.2">
      <c r="A395" s="134"/>
    </row>
    <row r="396" spans="1:1" ht="12.75" x14ac:dyDescent="0.2">
      <c r="A396" s="134"/>
    </row>
    <row r="397" spans="1:1" ht="12.75" x14ac:dyDescent="0.2">
      <c r="A397" s="134"/>
    </row>
    <row r="398" spans="1:1" ht="12.75" x14ac:dyDescent="0.2">
      <c r="A398" s="134"/>
    </row>
    <row r="399" spans="1:1" ht="12.75" x14ac:dyDescent="0.2">
      <c r="A399" s="134"/>
    </row>
    <row r="400" spans="1:1" ht="12.75" x14ac:dyDescent="0.2">
      <c r="A400" s="134"/>
    </row>
    <row r="401" spans="1:1" ht="12.75" x14ac:dyDescent="0.2">
      <c r="A401" s="134"/>
    </row>
    <row r="402" spans="1:1" ht="12.75" x14ac:dyDescent="0.2">
      <c r="A402" s="134"/>
    </row>
    <row r="403" spans="1:1" ht="12.75" x14ac:dyDescent="0.2">
      <c r="A403" s="134"/>
    </row>
    <row r="404" spans="1:1" ht="12.75" x14ac:dyDescent="0.2">
      <c r="A404" s="134"/>
    </row>
    <row r="405" spans="1:1" ht="12.75" x14ac:dyDescent="0.2">
      <c r="A405" s="134"/>
    </row>
    <row r="406" spans="1:1" ht="12.75" x14ac:dyDescent="0.2">
      <c r="A406" s="134"/>
    </row>
    <row r="407" spans="1:1" ht="12.75" x14ac:dyDescent="0.2">
      <c r="A407" s="134"/>
    </row>
    <row r="408" spans="1:1" ht="12.75" x14ac:dyDescent="0.2">
      <c r="A408" s="134"/>
    </row>
    <row r="409" spans="1:1" ht="12.75" x14ac:dyDescent="0.2">
      <c r="A409" s="134"/>
    </row>
    <row r="410" spans="1:1" ht="12.75" x14ac:dyDescent="0.2">
      <c r="A410" s="134"/>
    </row>
    <row r="411" spans="1:1" ht="12.75" x14ac:dyDescent="0.2">
      <c r="A411" s="134"/>
    </row>
    <row r="412" spans="1:1" ht="12.75" x14ac:dyDescent="0.2">
      <c r="A412" s="134"/>
    </row>
    <row r="413" spans="1:1" ht="12.75" x14ac:dyDescent="0.2">
      <c r="A413" s="134"/>
    </row>
    <row r="414" spans="1:1" ht="12.75" x14ac:dyDescent="0.2">
      <c r="A414" s="134"/>
    </row>
    <row r="415" spans="1:1" ht="12.75" x14ac:dyDescent="0.2">
      <c r="A415" s="134"/>
    </row>
    <row r="416" spans="1:1" ht="12.75" x14ac:dyDescent="0.2">
      <c r="A416" s="134"/>
    </row>
    <row r="417" spans="1:1" ht="12.75" x14ac:dyDescent="0.2">
      <c r="A417" s="134"/>
    </row>
    <row r="418" spans="1:1" ht="12.75" x14ac:dyDescent="0.2">
      <c r="A418" s="134"/>
    </row>
    <row r="419" spans="1:1" ht="12.75" x14ac:dyDescent="0.2">
      <c r="A419" s="134"/>
    </row>
    <row r="420" spans="1:1" ht="12.75" x14ac:dyDescent="0.2">
      <c r="A420" s="134"/>
    </row>
    <row r="421" spans="1:1" ht="12.75" x14ac:dyDescent="0.2">
      <c r="A421" s="134"/>
    </row>
    <row r="422" spans="1:1" ht="12.75" x14ac:dyDescent="0.2">
      <c r="A422" s="134"/>
    </row>
    <row r="423" spans="1:1" ht="12.75" x14ac:dyDescent="0.2">
      <c r="A423" s="134"/>
    </row>
    <row r="424" spans="1:1" ht="12.75" x14ac:dyDescent="0.2">
      <c r="A424" s="134"/>
    </row>
    <row r="425" spans="1:1" ht="12.75" x14ac:dyDescent="0.2">
      <c r="A425" s="134"/>
    </row>
    <row r="426" spans="1:1" ht="12.75" x14ac:dyDescent="0.2">
      <c r="A426" s="134"/>
    </row>
    <row r="427" spans="1:1" ht="12.75" x14ac:dyDescent="0.2">
      <c r="A427" s="134"/>
    </row>
    <row r="428" spans="1:1" ht="12.75" x14ac:dyDescent="0.2">
      <c r="A428" s="134"/>
    </row>
    <row r="429" spans="1:1" ht="12.75" x14ac:dyDescent="0.2">
      <c r="A429" s="134"/>
    </row>
    <row r="430" spans="1:1" ht="12.75" x14ac:dyDescent="0.2">
      <c r="A430" s="134"/>
    </row>
    <row r="431" spans="1:1" ht="12.75" x14ac:dyDescent="0.2">
      <c r="A431" s="134"/>
    </row>
    <row r="432" spans="1:1" ht="12.75" x14ac:dyDescent="0.2">
      <c r="A432" s="134"/>
    </row>
    <row r="433" spans="1:1" ht="12.75" x14ac:dyDescent="0.2">
      <c r="A433" s="134"/>
    </row>
    <row r="434" spans="1:1" ht="12.75" x14ac:dyDescent="0.2">
      <c r="A434" s="134"/>
    </row>
    <row r="435" spans="1:1" ht="12.75" x14ac:dyDescent="0.2">
      <c r="A435" s="134"/>
    </row>
    <row r="436" spans="1:1" ht="12.75" x14ac:dyDescent="0.2">
      <c r="A436" s="134"/>
    </row>
    <row r="437" spans="1:1" ht="12.75" x14ac:dyDescent="0.2">
      <c r="A437" s="134"/>
    </row>
    <row r="438" spans="1:1" ht="12.75" x14ac:dyDescent="0.2">
      <c r="A438" s="134"/>
    </row>
    <row r="439" spans="1:1" ht="12.75" x14ac:dyDescent="0.2">
      <c r="A439" s="134"/>
    </row>
    <row r="440" spans="1:1" ht="12.75" x14ac:dyDescent="0.2">
      <c r="A440" s="134"/>
    </row>
    <row r="441" spans="1:1" ht="12.75" x14ac:dyDescent="0.2">
      <c r="A441" s="134"/>
    </row>
    <row r="442" spans="1:1" ht="12.75" x14ac:dyDescent="0.2">
      <c r="A442" s="134"/>
    </row>
    <row r="443" spans="1:1" ht="12.75" x14ac:dyDescent="0.2">
      <c r="A443" s="134"/>
    </row>
    <row r="444" spans="1:1" ht="12.75" x14ac:dyDescent="0.2">
      <c r="A444" s="134"/>
    </row>
    <row r="445" spans="1:1" ht="12.75" x14ac:dyDescent="0.2">
      <c r="A445" s="134"/>
    </row>
    <row r="446" spans="1:1" ht="12.75" x14ac:dyDescent="0.2">
      <c r="A446" s="134"/>
    </row>
    <row r="447" spans="1:1" ht="12.75" x14ac:dyDescent="0.2">
      <c r="A447" s="134"/>
    </row>
    <row r="448" spans="1:1" ht="12.75" x14ac:dyDescent="0.2">
      <c r="A448" s="134"/>
    </row>
    <row r="449" spans="1:1" ht="12.75" x14ac:dyDescent="0.2">
      <c r="A449" s="134"/>
    </row>
    <row r="450" spans="1:1" ht="12.75" x14ac:dyDescent="0.2">
      <c r="A450" s="134"/>
    </row>
    <row r="451" spans="1:1" ht="12.75" x14ac:dyDescent="0.2">
      <c r="A451" s="134"/>
    </row>
    <row r="452" spans="1:1" ht="12.75" x14ac:dyDescent="0.2">
      <c r="A452" s="134"/>
    </row>
    <row r="453" spans="1:1" ht="12.75" x14ac:dyDescent="0.2">
      <c r="A453" s="134"/>
    </row>
    <row r="454" spans="1:1" ht="12.75" x14ac:dyDescent="0.2">
      <c r="A454" s="134"/>
    </row>
    <row r="455" spans="1:1" ht="12.75" x14ac:dyDescent="0.2">
      <c r="A455" s="134"/>
    </row>
    <row r="456" spans="1:1" ht="12.75" x14ac:dyDescent="0.2">
      <c r="A456" s="134"/>
    </row>
    <row r="457" spans="1:1" ht="12.75" x14ac:dyDescent="0.2">
      <c r="A457" s="134"/>
    </row>
    <row r="458" spans="1:1" ht="12.75" x14ac:dyDescent="0.2">
      <c r="A458" s="134"/>
    </row>
    <row r="459" spans="1:1" ht="12.75" x14ac:dyDescent="0.2">
      <c r="A459" s="134"/>
    </row>
    <row r="460" spans="1:1" ht="12.75" x14ac:dyDescent="0.2">
      <c r="A460" s="134"/>
    </row>
    <row r="461" spans="1:1" ht="12.75" x14ac:dyDescent="0.2">
      <c r="A461" s="134"/>
    </row>
    <row r="462" spans="1:1" ht="12.75" x14ac:dyDescent="0.2">
      <c r="A462" s="134"/>
    </row>
    <row r="463" spans="1:1" ht="12.75" x14ac:dyDescent="0.2">
      <c r="A463" s="134"/>
    </row>
    <row r="464" spans="1:1" ht="12.75" x14ac:dyDescent="0.2">
      <c r="A464" s="134"/>
    </row>
    <row r="465" spans="1:1" ht="12.75" x14ac:dyDescent="0.2">
      <c r="A465" s="134"/>
    </row>
    <row r="466" spans="1:1" ht="12.75" x14ac:dyDescent="0.2">
      <c r="A466" s="134"/>
    </row>
    <row r="467" spans="1:1" ht="12.75" x14ac:dyDescent="0.2">
      <c r="A467" s="134"/>
    </row>
    <row r="468" spans="1:1" ht="12.75" x14ac:dyDescent="0.2">
      <c r="A468" s="134"/>
    </row>
    <row r="469" spans="1:1" ht="12.75" x14ac:dyDescent="0.2">
      <c r="A469" s="134"/>
    </row>
    <row r="470" spans="1:1" ht="12.75" x14ac:dyDescent="0.2">
      <c r="A470" s="134"/>
    </row>
    <row r="471" spans="1:1" ht="12.75" x14ac:dyDescent="0.2">
      <c r="A471" s="134"/>
    </row>
    <row r="472" spans="1:1" ht="12.75" x14ac:dyDescent="0.2">
      <c r="A472" s="134"/>
    </row>
    <row r="473" spans="1:1" ht="12.75" x14ac:dyDescent="0.2">
      <c r="A473" s="134"/>
    </row>
    <row r="474" spans="1:1" ht="12.75" x14ac:dyDescent="0.2">
      <c r="A474" s="134"/>
    </row>
    <row r="475" spans="1:1" ht="12.75" x14ac:dyDescent="0.2">
      <c r="A475" s="134"/>
    </row>
    <row r="476" spans="1:1" ht="12.75" x14ac:dyDescent="0.2">
      <c r="A476" s="134"/>
    </row>
    <row r="477" spans="1:1" ht="12.75" x14ac:dyDescent="0.2">
      <c r="A477" s="134"/>
    </row>
    <row r="478" spans="1:1" ht="12.75" x14ac:dyDescent="0.2">
      <c r="A478" s="134"/>
    </row>
    <row r="479" spans="1:1" ht="12.75" x14ac:dyDescent="0.2">
      <c r="A479" s="134"/>
    </row>
    <row r="480" spans="1:1" ht="12.75" x14ac:dyDescent="0.2">
      <c r="A480" s="134"/>
    </row>
    <row r="481" spans="1:1" ht="12.75" x14ac:dyDescent="0.2">
      <c r="A481" s="134"/>
    </row>
    <row r="482" spans="1:1" ht="12.75" x14ac:dyDescent="0.2">
      <c r="A482" s="134"/>
    </row>
    <row r="483" spans="1:1" ht="12.75" x14ac:dyDescent="0.2">
      <c r="A483" s="134"/>
    </row>
    <row r="484" spans="1:1" ht="12.75" x14ac:dyDescent="0.2">
      <c r="A484" s="134"/>
    </row>
    <row r="485" spans="1:1" ht="12.75" x14ac:dyDescent="0.2">
      <c r="A485" s="134"/>
    </row>
    <row r="486" spans="1:1" ht="12.75" x14ac:dyDescent="0.2">
      <c r="A486" s="134"/>
    </row>
    <row r="487" spans="1:1" ht="12.75" x14ac:dyDescent="0.2">
      <c r="A487" s="134"/>
    </row>
    <row r="488" spans="1:1" ht="12.75" x14ac:dyDescent="0.2">
      <c r="A488" s="134"/>
    </row>
    <row r="489" spans="1:1" ht="12.75" x14ac:dyDescent="0.2">
      <c r="A489" s="134"/>
    </row>
    <row r="490" spans="1:1" ht="12.75" x14ac:dyDescent="0.2">
      <c r="A490" s="134"/>
    </row>
    <row r="491" spans="1:1" ht="12.75" x14ac:dyDescent="0.2">
      <c r="A491" s="134"/>
    </row>
    <row r="492" spans="1:1" ht="12.75" x14ac:dyDescent="0.2">
      <c r="A492" s="134"/>
    </row>
    <row r="493" spans="1:1" ht="12.75" x14ac:dyDescent="0.2">
      <c r="A493" s="134"/>
    </row>
    <row r="494" spans="1:1" ht="12.75" x14ac:dyDescent="0.2">
      <c r="A494" s="134"/>
    </row>
    <row r="495" spans="1:1" ht="12.75" x14ac:dyDescent="0.2">
      <c r="A495" s="134"/>
    </row>
    <row r="496" spans="1:1" ht="12.75" x14ac:dyDescent="0.2">
      <c r="A496" s="134"/>
    </row>
    <row r="497" spans="1:1" ht="12.75" x14ac:dyDescent="0.2">
      <c r="A497" s="134"/>
    </row>
    <row r="498" spans="1:1" ht="12.75" x14ac:dyDescent="0.2">
      <c r="A498" s="134"/>
    </row>
    <row r="499" spans="1:1" ht="12.75" x14ac:dyDescent="0.2">
      <c r="A499" s="134"/>
    </row>
    <row r="500" spans="1:1" ht="12.75" x14ac:dyDescent="0.2">
      <c r="A500" s="134"/>
    </row>
    <row r="501" spans="1:1" ht="12.75" x14ac:dyDescent="0.2">
      <c r="A501" s="134"/>
    </row>
    <row r="502" spans="1:1" ht="12.75" x14ac:dyDescent="0.2">
      <c r="A502" s="134"/>
    </row>
    <row r="503" spans="1:1" ht="12.75" x14ac:dyDescent="0.2">
      <c r="A503" s="134"/>
    </row>
    <row r="504" spans="1:1" ht="12.75" x14ac:dyDescent="0.2">
      <c r="A504" s="134"/>
    </row>
    <row r="505" spans="1:1" ht="12.75" x14ac:dyDescent="0.2">
      <c r="A505" s="134"/>
    </row>
    <row r="506" spans="1:1" ht="12.75" x14ac:dyDescent="0.2">
      <c r="A506" s="134"/>
    </row>
    <row r="507" spans="1:1" ht="12.75" x14ac:dyDescent="0.2">
      <c r="A507" s="134"/>
    </row>
    <row r="508" spans="1:1" ht="12.75" x14ac:dyDescent="0.2">
      <c r="A508" s="134"/>
    </row>
    <row r="509" spans="1:1" ht="12.75" x14ac:dyDescent="0.2">
      <c r="A509" s="134"/>
    </row>
    <row r="510" spans="1:1" ht="12.75" x14ac:dyDescent="0.2">
      <c r="A510" s="134"/>
    </row>
    <row r="511" spans="1:1" ht="12.75" x14ac:dyDescent="0.2">
      <c r="A511" s="134"/>
    </row>
    <row r="512" spans="1:1" ht="12.75" x14ac:dyDescent="0.2">
      <c r="A512" s="134"/>
    </row>
    <row r="513" spans="1:1" ht="12.75" x14ac:dyDescent="0.2">
      <c r="A513" s="134"/>
    </row>
    <row r="514" spans="1:1" ht="12.75" x14ac:dyDescent="0.2">
      <c r="A514" s="134"/>
    </row>
    <row r="515" spans="1:1" ht="12.75" x14ac:dyDescent="0.2">
      <c r="A515" s="134"/>
    </row>
    <row r="516" spans="1:1" ht="12.75" x14ac:dyDescent="0.2">
      <c r="A516" s="134"/>
    </row>
    <row r="517" spans="1:1" ht="12.75" x14ac:dyDescent="0.2">
      <c r="A517" s="134"/>
    </row>
    <row r="518" spans="1:1" ht="12.75" x14ac:dyDescent="0.2">
      <c r="A518" s="134"/>
    </row>
    <row r="519" spans="1:1" ht="12.75" x14ac:dyDescent="0.2">
      <c r="A519" s="134"/>
    </row>
    <row r="520" spans="1:1" ht="12.75" x14ac:dyDescent="0.2">
      <c r="A520" s="134"/>
    </row>
    <row r="521" spans="1:1" ht="12.75" x14ac:dyDescent="0.2">
      <c r="A521" s="134"/>
    </row>
    <row r="522" spans="1:1" ht="12.75" x14ac:dyDescent="0.2">
      <c r="A522" s="134"/>
    </row>
    <row r="523" spans="1:1" ht="12.75" x14ac:dyDescent="0.2">
      <c r="A523" s="134"/>
    </row>
    <row r="524" spans="1:1" ht="12.75" x14ac:dyDescent="0.2">
      <c r="A524" s="134"/>
    </row>
    <row r="525" spans="1:1" ht="12.75" x14ac:dyDescent="0.2">
      <c r="A525" s="134"/>
    </row>
    <row r="526" spans="1:1" ht="12.75" x14ac:dyDescent="0.2">
      <c r="A526" s="134"/>
    </row>
    <row r="527" spans="1:1" ht="12.75" x14ac:dyDescent="0.2">
      <c r="A527" s="134"/>
    </row>
    <row r="528" spans="1:1" ht="12.75" x14ac:dyDescent="0.2">
      <c r="A528" s="134"/>
    </row>
    <row r="529" spans="1:1" ht="12.75" x14ac:dyDescent="0.2">
      <c r="A529" s="134"/>
    </row>
    <row r="530" spans="1:1" ht="12.75" x14ac:dyDescent="0.2">
      <c r="A530" s="134"/>
    </row>
    <row r="531" spans="1:1" ht="12.75" x14ac:dyDescent="0.2">
      <c r="A531" s="134"/>
    </row>
    <row r="532" spans="1:1" ht="12.75" x14ac:dyDescent="0.2">
      <c r="A532" s="134"/>
    </row>
    <row r="533" spans="1:1" ht="12.75" x14ac:dyDescent="0.2">
      <c r="A533" s="134"/>
    </row>
    <row r="534" spans="1:1" ht="12.75" x14ac:dyDescent="0.2">
      <c r="A534" s="134"/>
    </row>
    <row r="535" spans="1:1" ht="12.75" x14ac:dyDescent="0.2">
      <c r="A535" s="134"/>
    </row>
    <row r="536" spans="1:1" ht="12.75" x14ac:dyDescent="0.2">
      <c r="A536" s="134"/>
    </row>
    <row r="537" spans="1:1" ht="12.75" x14ac:dyDescent="0.2">
      <c r="A537" s="134"/>
    </row>
    <row r="538" spans="1:1" ht="12.75" x14ac:dyDescent="0.2">
      <c r="A538" s="134"/>
    </row>
    <row r="539" spans="1:1" ht="12.75" x14ac:dyDescent="0.2">
      <c r="A539" s="134"/>
    </row>
    <row r="540" spans="1:1" ht="12.75" x14ac:dyDescent="0.2">
      <c r="A540" s="134"/>
    </row>
    <row r="541" spans="1:1" ht="12.75" x14ac:dyDescent="0.2">
      <c r="A541" s="134"/>
    </row>
    <row r="542" spans="1:1" ht="12.75" x14ac:dyDescent="0.2">
      <c r="A542" s="134"/>
    </row>
    <row r="543" spans="1:1" ht="12.75" x14ac:dyDescent="0.2">
      <c r="A543" s="134"/>
    </row>
    <row r="544" spans="1:1" ht="12.75" x14ac:dyDescent="0.2">
      <c r="A544" s="134"/>
    </row>
    <row r="545" spans="1:1" ht="12.75" x14ac:dyDescent="0.2">
      <c r="A545" s="134"/>
    </row>
    <row r="546" spans="1:1" ht="12.75" x14ac:dyDescent="0.2">
      <c r="A546" s="134"/>
    </row>
    <row r="547" spans="1:1" ht="12.75" x14ac:dyDescent="0.2">
      <c r="A547" s="134"/>
    </row>
    <row r="548" spans="1:1" ht="12.75" x14ac:dyDescent="0.2">
      <c r="A548" s="134"/>
    </row>
    <row r="549" spans="1:1" ht="12.75" x14ac:dyDescent="0.2">
      <c r="A549" s="134"/>
    </row>
    <row r="550" spans="1:1" ht="12.75" x14ac:dyDescent="0.2">
      <c r="A550" s="134"/>
    </row>
    <row r="551" spans="1:1" ht="12.75" x14ac:dyDescent="0.2">
      <c r="A551" s="134"/>
    </row>
    <row r="552" spans="1:1" ht="12.75" x14ac:dyDescent="0.2">
      <c r="A552" s="134"/>
    </row>
    <row r="553" spans="1:1" ht="12.75" x14ac:dyDescent="0.2">
      <c r="A553" s="134"/>
    </row>
    <row r="554" spans="1:1" ht="12.75" x14ac:dyDescent="0.2">
      <c r="A554" s="134"/>
    </row>
    <row r="555" spans="1:1" ht="12.75" x14ac:dyDescent="0.2">
      <c r="A555" s="134"/>
    </row>
    <row r="556" spans="1:1" ht="12.75" x14ac:dyDescent="0.2">
      <c r="A556" s="134"/>
    </row>
    <row r="557" spans="1:1" ht="12.75" x14ac:dyDescent="0.2">
      <c r="A557" s="134"/>
    </row>
    <row r="558" spans="1:1" ht="12.75" x14ac:dyDescent="0.2">
      <c r="A558" s="134"/>
    </row>
    <row r="559" spans="1:1" ht="12.75" x14ac:dyDescent="0.2">
      <c r="A559" s="134"/>
    </row>
    <row r="560" spans="1:1" ht="12.75" x14ac:dyDescent="0.2">
      <c r="A560" s="134"/>
    </row>
    <row r="561" spans="1:1" ht="12.75" x14ac:dyDescent="0.2">
      <c r="A561" s="134"/>
    </row>
    <row r="562" spans="1:1" ht="12.75" x14ac:dyDescent="0.2">
      <c r="A562" s="134"/>
    </row>
    <row r="563" spans="1:1" ht="12.75" x14ac:dyDescent="0.2">
      <c r="A563" s="134"/>
    </row>
    <row r="564" spans="1:1" ht="12.75" x14ac:dyDescent="0.2">
      <c r="A564" s="134"/>
    </row>
    <row r="565" spans="1:1" ht="12.75" x14ac:dyDescent="0.2">
      <c r="A565" s="134"/>
    </row>
    <row r="566" spans="1:1" ht="12.75" x14ac:dyDescent="0.2">
      <c r="A566" s="134"/>
    </row>
    <row r="567" spans="1:1" ht="12.75" x14ac:dyDescent="0.2">
      <c r="A567" s="134"/>
    </row>
    <row r="568" spans="1:1" ht="12.75" x14ac:dyDescent="0.2">
      <c r="A568" s="134"/>
    </row>
    <row r="569" spans="1:1" ht="12.75" x14ac:dyDescent="0.2">
      <c r="A569" s="134"/>
    </row>
    <row r="570" spans="1:1" ht="12.75" x14ac:dyDescent="0.2">
      <c r="A570" s="134"/>
    </row>
    <row r="571" spans="1:1" ht="12.75" x14ac:dyDescent="0.2">
      <c r="A571" s="134"/>
    </row>
    <row r="572" spans="1:1" ht="12.75" x14ac:dyDescent="0.2">
      <c r="A572" s="134"/>
    </row>
    <row r="573" spans="1:1" ht="12.75" x14ac:dyDescent="0.2">
      <c r="A573" s="134"/>
    </row>
    <row r="574" spans="1:1" ht="12.75" x14ac:dyDescent="0.2">
      <c r="A574" s="134"/>
    </row>
    <row r="575" spans="1:1" ht="12.75" x14ac:dyDescent="0.2">
      <c r="A575" s="134"/>
    </row>
    <row r="576" spans="1:1" ht="12.75" x14ac:dyDescent="0.2">
      <c r="A576" s="134"/>
    </row>
    <row r="577" spans="1:1" ht="12.75" x14ac:dyDescent="0.2">
      <c r="A577" s="134"/>
    </row>
    <row r="578" spans="1:1" ht="12.75" x14ac:dyDescent="0.2">
      <c r="A578" s="134"/>
    </row>
    <row r="579" spans="1:1" ht="12.75" x14ac:dyDescent="0.2">
      <c r="A579" s="134"/>
    </row>
    <row r="580" spans="1:1" ht="12.75" x14ac:dyDescent="0.2">
      <c r="A580" s="134"/>
    </row>
    <row r="581" spans="1:1" ht="12.75" x14ac:dyDescent="0.2">
      <c r="A581" s="134"/>
    </row>
    <row r="582" spans="1:1" ht="12.75" x14ac:dyDescent="0.2">
      <c r="A582" s="134"/>
    </row>
    <row r="583" spans="1:1" ht="12.75" x14ac:dyDescent="0.2">
      <c r="A583" s="134"/>
    </row>
    <row r="584" spans="1:1" ht="12.75" x14ac:dyDescent="0.2">
      <c r="A584" s="134"/>
    </row>
    <row r="585" spans="1:1" ht="12.75" x14ac:dyDescent="0.2">
      <c r="A585" s="134"/>
    </row>
    <row r="586" spans="1:1" ht="12.75" x14ac:dyDescent="0.2">
      <c r="A586" s="134"/>
    </row>
    <row r="587" spans="1:1" ht="12.75" x14ac:dyDescent="0.2">
      <c r="A587" s="134"/>
    </row>
    <row r="588" spans="1:1" ht="12.75" x14ac:dyDescent="0.2">
      <c r="A588" s="134"/>
    </row>
    <row r="589" spans="1:1" ht="12.75" x14ac:dyDescent="0.2">
      <c r="A589" s="134"/>
    </row>
    <row r="590" spans="1:1" ht="12.75" x14ac:dyDescent="0.2">
      <c r="A590" s="134"/>
    </row>
    <row r="591" spans="1:1" ht="12.75" x14ac:dyDescent="0.2">
      <c r="A591" s="134"/>
    </row>
    <row r="592" spans="1:1" ht="12.75" x14ac:dyDescent="0.2">
      <c r="A592" s="134"/>
    </row>
    <row r="593" spans="1:1" ht="12.75" x14ac:dyDescent="0.2">
      <c r="A593" s="134"/>
    </row>
    <row r="594" spans="1:1" ht="12.75" x14ac:dyDescent="0.2">
      <c r="A594" s="134"/>
    </row>
    <row r="595" spans="1:1" ht="12.75" x14ac:dyDescent="0.2">
      <c r="A595" s="134"/>
    </row>
    <row r="596" spans="1:1" ht="12.75" x14ac:dyDescent="0.2">
      <c r="A596" s="134"/>
    </row>
    <row r="597" spans="1:1" ht="12.75" x14ac:dyDescent="0.2">
      <c r="A597" s="134"/>
    </row>
    <row r="598" spans="1:1" ht="12.75" x14ac:dyDescent="0.2">
      <c r="A598" s="134"/>
    </row>
    <row r="599" spans="1:1" ht="12.75" x14ac:dyDescent="0.2">
      <c r="A599" s="134"/>
    </row>
    <row r="600" spans="1:1" ht="12.75" x14ac:dyDescent="0.2">
      <c r="A600" s="134"/>
    </row>
    <row r="601" spans="1:1" ht="12.75" x14ac:dyDescent="0.2">
      <c r="A601" s="134"/>
    </row>
    <row r="602" spans="1:1" ht="12.75" x14ac:dyDescent="0.2">
      <c r="A602" s="134"/>
    </row>
    <row r="603" spans="1:1" ht="12.75" x14ac:dyDescent="0.2">
      <c r="A603" s="134"/>
    </row>
    <row r="604" spans="1:1" ht="12.75" x14ac:dyDescent="0.2">
      <c r="A604" s="134"/>
    </row>
    <row r="605" spans="1:1" ht="12.75" x14ac:dyDescent="0.2">
      <c r="A605" s="134"/>
    </row>
    <row r="606" spans="1:1" ht="12.75" x14ac:dyDescent="0.2">
      <c r="A606" s="134"/>
    </row>
    <row r="607" spans="1:1" ht="12.75" x14ac:dyDescent="0.2">
      <c r="A607" s="134"/>
    </row>
    <row r="608" spans="1:1" ht="12.75" x14ac:dyDescent="0.2">
      <c r="A608" s="134"/>
    </row>
    <row r="609" spans="1:1" ht="12.75" x14ac:dyDescent="0.2">
      <c r="A609" s="134"/>
    </row>
    <row r="610" spans="1:1" ht="12.75" x14ac:dyDescent="0.2">
      <c r="A610" s="134"/>
    </row>
    <row r="611" spans="1:1" ht="12.75" x14ac:dyDescent="0.2">
      <c r="A611" s="134"/>
    </row>
    <row r="612" spans="1:1" ht="12.75" x14ac:dyDescent="0.2">
      <c r="A612" s="134"/>
    </row>
    <row r="613" spans="1:1" ht="12.75" x14ac:dyDescent="0.2">
      <c r="A613" s="134"/>
    </row>
    <row r="614" spans="1:1" ht="12.75" x14ac:dyDescent="0.2">
      <c r="A614" s="134"/>
    </row>
    <row r="615" spans="1:1" ht="12.75" x14ac:dyDescent="0.2">
      <c r="A615" s="134"/>
    </row>
    <row r="616" spans="1:1" ht="12.75" x14ac:dyDescent="0.2">
      <c r="A616" s="134"/>
    </row>
    <row r="617" spans="1:1" ht="12.75" x14ac:dyDescent="0.2">
      <c r="A617" s="134"/>
    </row>
    <row r="618" spans="1:1" ht="12.75" x14ac:dyDescent="0.2">
      <c r="A618" s="134"/>
    </row>
    <row r="619" spans="1:1" ht="12.75" x14ac:dyDescent="0.2">
      <c r="A619" s="134"/>
    </row>
    <row r="620" spans="1:1" ht="12.75" x14ac:dyDescent="0.2">
      <c r="A620" s="134"/>
    </row>
    <row r="621" spans="1:1" ht="12.75" x14ac:dyDescent="0.2">
      <c r="A621" s="134"/>
    </row>
    <row r="622" spans="1:1" ht="12.75" x14ac:dyDescent="0.2">
      <c r="A622" s="134"/>
    </row>
    <row r="623" spans="1:1" ht="12.75" x14ac:dyDescent="0.2">
      <c r="A623" s="134"/>
    </row>
    <row r="624" spans="1:1" ht="12.75" x14ac:dyDescent="0.2">
      <c r="A624" s="134"/>
    </row>
    <row r="625" spans="1:1" ht="12.75" x14ac:dyDescent="0.2">
      <c r="A625" s="134"/>
    </row>
    <row r="626" spans="1:1" ht="12.75" x14ac:dyDescent="0.2">
      <c r="A626" s="134"/>
    </row>
    <row r="627" spans="1:1" ht="12.75" x14ac:dyDescent="0.2">
      <c r="A627" s="134"/>
    </row>
    <row r="628" spans="1:1" ht="12.75" x14ac:dyDescent="0.2">
      <c r="A628" s="134"/>
    </row>
    <row r="629" spans="1:1" ht="12.75" x14ac:dyDescent="0.2">
      <c r="A629" s="134"/>
    </row>
    <row r="630" spans="1:1" ht="12.75" x14ac:dyDescent="0.2">
      <c r="A630" s="134"/>
    </row>
    <row r="631" spans="1:1" ht="12.75" x14ac:dyDescent="0.2">
      <c r="A631" s="134"/>
    </row>
    <row r="632" spans="1:1" ht="12.75" x14ac:dyDescent="0.2">
      <c r="A632" s="134"/>
    </row>
    <row r="633" spans="1:1" ht="12.75" x14ac:dyDescent="0.2">
      <c r="A633" s="134"/>
    </row>
    <row r="634" spans="1:1" ht="12.75" x14ac:dyDescent="0.2">
      <c r="A634" s="134"/>
    </row>
    <row r="635" spans="1:1" ht="12.75" x14ac:dyDescent="0.2">
      <c r="A635" s="134"/>
    </row>
    <row r="636" spans="1:1" ht="12.75" x14ac:dyDescent="0.2">
      <c r="A636" s="134"/>
    </row>
    <row r="637" spans="1:1" ht="12.75" x14ac:dyDescent="0.2">
      <c r="A637" s="134"/>
    </row>
    <row r="638" spans="1:1" ht="12.75" x14ac:dyDescent="0.2">
      <c r="A638" s="134"/>
    </row>
    <row r="639" spans="1:1" ht="12.75" x14ac:dyDescent="0.2">
      <c r="A639" s="134"/>
    </row>
    <row r="640" spans="1:1" ht="12.75" x14ac:dyDescent="0.2">
      <c r="A640" s="134"/>
    </row>
    <row r="641" spans="1:1" ht="12.75" x14ac:dyDescent="0.2">
      <c r="A641" s="134"/>
    </row>
    <row r="642" spans="1:1" ht="12.75" x14ac:dyDescent="0.2">
      <c r="A642" s="134"/>
    </row>
    <row r="643" spans="1:1" ht="12.75" x14ac:dyDescent="0.2">
      <c r="A643" s="134"/>
    </row>
    <row r="644" spans="1:1" ht="12.75" x14ac:dyDescent="0.2">
      <c r="A644" s="134"/>
    </row>
    <row r="645" spans="1:1" ht="12.75" x14ac:dyDescent="0.2">
      <c r="A645" s="134"/>
    </row>
    <row r="646" spans="1:1" ht="12.75" x14ac:dyDescent="0.2">
      <c r="A646" s="134"/>
    </row>
    <row r="647" spans="1:1" ht="12.75" x14ac:dyDescent="0.2">
      <c r="A647" s="134"/>
    </row>
    <row r="648" spans="1:1" ht="12.75" x14ac:dyDescent="0.2">
      <c r="A648" s="134"/>
    </row>
    <row r="649" spans="1:1" ht="12.75" x14ac:dyDescent="0.2">
      <c r="A649" s="134"/>
    </row>
    <row r="650" spans="1:1" ht="12.75" x14ac:dyDescent="0.2">
      <c r="A650" s="134"/>
    </row>
    <row r="651" spans="1:1" ht="12.75" x14ac:dyDescent="0.2">
      <c r="A651" s="134"/>
    </row>
    <row r="652" spans="1:1" ht="12.75" x14ac:dyDescent="0.2">
      <c r="A652" s="134"/>
    </row>
    <row r="653" spans="1:1" ht="12.75" x14ac:dyDescent="0.2">
      <c r="A653" s="134"/>
    </row>
    <row r="654" spans="1:1" ht="12.75" x14ac:dyDescent="0.2">
      <c r="A654" s="134"/>
    </row>
    <row r="655" spans="1:1" ht="12.75" x14ac:dyDescent="0.2">
      <c r="A655" s="134"/>
    </row>
    <row r="656" spans="1:1" ht="12.75" x14ac:dyDescent="0.2">
      <c r="A656" s="134"/>
    </row>
    <row r="657" spans="1:1" ht="12.75" x14ac:dyDescent="0.2">
      <c r="A657" s="134"/>
    </row>
    <row r="658" spans="1:1" ht="12.75" x14ac:dyDescent="0.2">
      <c r="A658" s="134"/>
    </row>
    <row r="659" spans="1:1" ht="12.75" x14ac:dyDescent="0.2">
      <c r="A659" s="134"/>
    </row>
    <row r="660" spans="1:1" ht="12.75" x14ac:dyDescent="0.2">
      <c r="A660" s="134"/>
    </row>
    <row r="661" spans="1:1" ht="12.75" x14ac:dyDescent="0.2">
      <c r="A661" s="134"/>
    </row>
    <row r="662" spans="1:1" ht="12.75" x14ac:dyDescent="0.2">
      <c r="A662" s="134"/>
    </row>
    <row r="663" spans="1:1" ht="12.75" x14ac:dyDescent="0.2">
      <c r="A663" s="134"/>
    </row>
    <row r="664" spans="1:1" ht="12.75" x14ac:dyDescent="0.2">
      <c r="A664" s="134"/>
    </row>
    <row r="665" spans="1:1" ht="12.75" x14ac:dyDescent="0.2">
      <c r="A665" s="134"/>
    </row>
    <row r="666" spans="1:1" ht="12.75" x14ac:dyDescent="0.2">
      <c r="A666" s="134"/>
    </row>
    <row r="667" spans="1:1" ht="12.75" x14ac:dyDescent="0.2">
      <c r="A667" s="134"/>
    </row>
    <row r="668" spans="1:1" ht="12.75" x14ac:dyDescent="0.2">
      <c r="A668" s="134"/>
    </row>
    <row r="669" spans="1:1" ht="12.75" x14ac:dyDescent="0.2">
      <c r="A669" s="134"/>
    </row>
    <row r="670" spans="1:1" ht="12.75" x14ac:dyDescent="0.2">
      <c r="A670" s="134"/>
    </row>
    <row r="671" spans="1:1" ht="12.75" x14ac:dyDescent="0.2">
      <c r="A671" s="134"/>
    </row>
    <row r="672" spans="1:1" ht="12.75" x14ac:dyDescent="0.2">
      <c r="A672" s="134"/>
    </row>
    <row r="673" spans="1:1" ht="12.75" x14ac:dyDescent="0.2">
      <c r="A673" s="134"/>
    </row>
    <row r="674" spans="1:1" ht="12.75" x14ac:dyDescent="0.2">
      <c r="A674" s="134"/>
    </row>
    <row r="675" spans="1:1" ht="12.75" x14ac:dyDescent="0.2">
      <c r="A675" s="134"/>
    </row>
    <row r="676" spans="1:1" ht="12.75" x14ac:dyDescent="0.2">
      <c r="A676" s="134"/>
    </row>
    <row r="677" spans="1:1" ht="12.75" x14ac:dyDescent="0.2">
      <c r="A677" s="134"/>
    </row>
    <row r="678" spans="1:1" ht="12.75" x14ac:dyDescent="0.2">
      <c r="A678" s="134"/>
    </row>
    <row r="679" spans="1:1" ht="12.75" x14ac:dyDescent="0.2">
      <c r="A679" s="134"/>
    </row>
    <row r="680" spans="1:1" ht="12.75" x14ac:dyDescent="0.2">
      <c r="A680" s="134"/>
    </row>
    <row r="681" spans="1:1" ht="12.75" x14ac:dyDescent="0.2">
      <c r="A681" s="134"/>
    </row>
    <row r="682" spans="1:1" ht="12.75" x14ac:dyDescent="0.2">
      <c r="A682" s="134"/>
    </row>
    <row r="683" spans="1:1" ht="12.75" x14ac:dyDescent="0.2">
      <c r="A683" s="134"/>
    </row>
    <row r="684" spans="1:1" ht="12.75" x14ac:dyDescent="0.2">
      <c r="A684" s="134"/>
    </row>
    <row r="685" spans="1:1" ht="12.75" x14ac:dyDescent="0.2">
      <c r="A685" s="134"/>
    </row>
    <row r="686" spans="1:1" ht="12.75" x14ac:dyDescent="0.2">
      <c r="A686" s="134"/>
    </row>
    <row r="687" spans="1:1" ht="12.75" x14ac:dyDescent="0.2">
      <c r="A687" s="134"/>
    </row>
    <row r="688" spans="1:1" ht="12.75" x14ac:dyDescent="0.2">
      <c r="A688" s="134"/>
    </row>
    <row r="689" spans="1:1" ht="12.75" x14ac:dyDescent="0.2">
      <c r="A689" s="134"/>
    </row>
    <row r="690" spans="1:1" ht="12.75" x14ac:dyDescent="0.2">
      <c r="A690" s="134"/>
    </row>
    <row r="691" spans="1:1" ht="12.75" x14ac:dyDescent="0.2">
      <c r="A691" s="134"/>
    </row>
    <row r="692" spans="1:1" ht="12.75" x14ac:dyDescent="0.2">
      <c r="A692" s="134"/>
    </row>
    <row r="693" spans="1:1" ht="12.75" x14ac:dyDescent="0.2">
      <c r="A693" s="134"/>
    </row>
    <row r="694" spans="1:1" ht="12.75" x14ac:dyDescent="0.2">
      <c r="A694" s="134"/>
    </row>
    <row r="695" spans="1:1" ht="12.75" x14ac:dyDescent="0.2">
      <c r="A695" s="134"/>
    </row>
    <row r="696" spans="1:1" ht="12.75" x14ac:dyDescent="0.2">
      <c r="A696" s="134"/>
    </row>
    <row r="697" spans="1:1" ht="12.75" x14ac:dyDescent="0.2">
      <c r="A697" s="134"/>
    </row>
    <row r="698" spans="1:1" ht="12.75" x14ac:dyDescent="0.2">
      <c r="A698" s="134"/>
    </row>
    <row r="699" spans="1:1" ht="12.75" x14ac:dyDescent="0.2">
      <c r="A699" s="134"/>
    </row>
    <row r="700" spans="1:1" ht="12.75" x14ac:dyDescent="0.2">
      <c r="A700" s="134"/>
    </row>
    <row r="701" spans="1:1" ht="12.75" x14ac:dyDescent="0.2">
      <c r="A701" s="134"/>
    </row>
    <row r="702" spans="1:1" ht="12.75" x14ac:dyDescent="0.2">
      <c r="A702" s="134"/>
    </row>
    <row r="703" spans="1:1" ht="12.75" x14ac:dyDescent="0.2">
      <c r="A703" s="134"/>
    </row>
    <row r="704" spans="1:1" ht="12.75" x14ac:dyDescent="0.2">
      <c r="A704" s="134"/>
    </row>
    <row r="705" spans="1:1" ht="12.75" x14ac:dyDescent="0.2">
      <c r="A705" s="134"/>
    </row>
    <row r="706" spans="1:1" ht="12.75" x14ac:dyDescent="0.2">
      <c r="A706" s="134"/>
    </row>
    <row r="707" spans="1:1" ht="12.75" x14ac:dyDescent="0.2">
      <c r="A707" s="134"/>
    </row>
    <row r="708" spans="1:1" ht="12.75" x14ac:dyDescent="0.2">
      <c r="A708" s="134"/>
    </row>
    <row r="709" spans="1:1" ht="12.75" x14ac:dyDescent="0.2">
      <c r="A709" s="134"/>
    </row>
    <row r="710" spans="1:1" ht="12.75" x14ac:dyDescent="0.2">
      <c r="A710" s="134"/>
    </row>
    <row r="711" spans="1:1" ht="12.75" x14ac:dyDescent="0.2">
      <c r="A711" s="134"/>
    </row>
    <row r="712" spans="1:1" ht="12.75" x14ac:dyDescent="0.2">
      <c r="A712" s="134"/>
    </row>
    <row r="713" spans="1:1" ht="12.75" x14ac:dyDescent="0.2">
      <c r="A713" s="134"/>
    </row>
    <row r="714" spans="1:1" ht="12.75" x14ac:dyDescent="0.2">
      <c r="A714" s="134"/>
    </row>
    <row r="715" spans="1:1" ht="12.75" x14ac:dyDescent="0.2">
      <c r="A715" s="134"/>
    </row>
    <row r="716" spans="1:1" ht="12.75" x14ac:dyDescent="0.2">
      <c r="A716" s="134"/>
    </row>
    <row r="717" spans="1:1" ht="12.75" x14ac:dyDescent="0.2">
      <c r="A717" s="134"/>
    </row>
    <row r="718" spans="1:1" ht="12.75" x14ac:dyDescent="0.2">
      <c r="A718" s="134"/>
    </row>
    <row r="719" spans="1:1" ht="12.75" x14ac:dyDescent="0.2">
      <c r="A719" s="134"/>
    </row>
    <row r="720" spans="1:1" ht="12.75" x14ac:dyDescent="0.2">
      <c r="A720" s="134"/>
    </row>
    <row r="721" spans="1:1" ht="12.75" x14ac:dyDescent="0.2">
      <c r="A721" s="134"/>
    </row>
    <row r="722" spans="1:1" ht="12.75" x14ac:dyDescent="0.2">
      <c r="A722" s="134"/>
    </row>
    <row r="723" spans="1:1" ht="12.75" x14ac:dyDescent="0.2">
      <c r="A723" s="134"/>
    </row>
    <row r="724" spans="1:1" ht="12.75" x14ac:dyDescent="0.2">
      <c r="A724" s="134"/>
    </row>
    <row r="725" spans="1:1" ht="12.75" x14ac:dyDescent="0.2">
      <c r="A725" s="134"/>
    </row>
    <row r="726" spans="1:1" ht="12.75" x14ac:dyDescent="0.2">
      <c r="A726" s="134"/>
    </row>
    <row r="727" spans="1:1" ht="12.75" x14ac:dyDescent="0.2">
      <c r="A727" s="134"/>
    </row>
    <row r="728" spans="1:1" ht="12.75" x14ac:dyDescent="0.2">
      <c r="A728" s="134"/>
    </row>
    <row r="729" spans="1:1" ht="12.75" x14ac:dyDescent="0.2">
      <c r="A729" s="134"/>
    </row>
    <row r="730" spans="1:1" ht="12.75" x14ac:dyDescent="0.2">
      <c r="A730" s="134"/>
    </row>
    <row r="731" spans="1:1" ht="12.75" x14ac:dyDescent="0.2">
      <c r="A731" s="134"/>
    </row>
    <row r="732" spans="1:1" ht="12.75" x14ac:dyDescent="0.2">
      <c r="A732" s="134"/>
    </row>
    <row r="733" spans="1:1" ht="12.75" x14ac:dyDescent="0.2">
      <c r="A733" s="134"/>
    </row>
    <row r="734" spans="1:1" ht="12.75" x14ac:dyDescent="0.2">
      <c r="A734" s="134"/>
    </row>
    <row r="735" spans="1:1" ht="12.75" x14ac:dyDescent="0.2">
      <c r="A735" s="134"/>
    </row>
    <row r="736" spans="1:1" ht="12.75" x14ac:dyDescent="0.2">
      <c r="A736" s="134"/>
    </row>
    <row r="737" spans="1:1" ht="12.75" x14ac:dyDescent="0.2">
      <c r="A737" s="134"/>
    </row>
    <row r="738" spans="1:1" ht="12.75" x14ac:dyDescent="0.2">
      <c r="A738" s="134"/>
    </row>
    <row r="739" spans="1:1" ht="12.75" x14ac:dyDescent="0.2">
      <c r="A739" s="134"/>
    </row>
    <row r="740" spans="1:1" ht="12.75" x14ac:dyDescent="0.2">
      <c r="A740" s="134"/>
    </row>
    <row r="741" spans="1:1" ht="12.75" x14ac:dyDescent="0.2">
      <c r="A741" s="134"/>
    </row>
    <row r="742" spans="1:1" ht="12.75" x14ac:dyDescent="0.2">
      <c r="A742" s="134"/>
    </row>
    <row r="743" spans="1:1" ht="12.75" x14ac:dyDescent="0.2">
      <c r="A743" s="134"/>
    </row>
    <row r="744" spans="1:1" ht="12.75" x14ac:dyDescent="0.2">
      <c r="A744" s="134"/>
    </row>
    <row r="745" spans="1:1" ht="12.75" x14ac:dyDescent="0.2">
      <c r="A745" s="134"/>
    </row>
    <row r="746" spans="1:1" ht="12.75" x14ac:dyDescent="0.2">
      <c r="A746" s="134"/>
    </row>
    <row r="747" spans="1:1" ht="12.75" x14ac:dyDescent="0.2">
      <c r="A747" s="134"/>
    </row>
    <row r="748" spans="1:1" ht="12.75" x14ac:dyDescent="0.2">
      <c r="A748" s="134"/>
    </row>
    <row r="749" spans="1:1" ht="12.75" x14ac:dyDescent="0.2">
      <c r="A749" s="134"/>
    </row>
    <row r="750" spans="1:1" ht="12.75" x14ac:dyDescent="0.2">
      <c r="A750" s="134"/>
    </row>
    <row r="751" spans="1:1" ht="12.75" x14ac:dyDescent="0.2">
      <c r="A751" s="134"/>
    </row>
    <row r="752" spans="1:1" ht="12.75" x14ac:dyDescent="0.2">
      <c r="A752" s="134"/>
    </row>
    <row r="753" spans="1:1" ht="12.75" x14ac:dyDescent="0.2">
      <c r="A753" s="134"/>
    </row>
    <row r="754" spans="1:1" ht="12.75" x14ac:dyDescent="0.2">
      <c r="A754" s="134"/>
    </row>
    <row r="755" spans="1:1" ht="12.75" x14ac:dyDescent="0.2">
      <c r="A755" s="134"/>
    </row>
    <row r="756" spans="1:1" ht="12.75" x14ac:dyDescent="0.2">
      <c r="A756" s="134"/>
    </row>
    <row r="757" spans="1:1" ht="12.75" x14ac:dyDescent="0.2">
      <c r="A757" s="134"/>
    </row>
    <row r="758" spans="1:1" ht="12.75" x14ac:dyDescent="0.2">
      <c r="A758" s="134"/>
    </row>
    <row r="759" spans="1:1" ht="12.75" x14ac:dyDescent="0.2">
      <c r="A759" s="134"/>
    </row>
    <row r="760" spans="1:1" ht="12.75" x14ac:dyDescent="0.2">
      <c r="A760" s="134"/>
    </row>
    <row r="761" spans="1:1" ht="12.75" x14ac:dyDescent="0.2">
      <c r="A761" s="134"/>
    </row>
    <row r="762" spans="1:1" ht="12.75" x14ac:dyDescent="0.2">
      <c r="A762" s="134"/>
    </row>
    <row r="763" spans="1:1" ht="12.75" x14ac:dyDescent="0.2">
      <c r="A763" s="134"/>
    </row>
    <row r="764" spans="1:1" ht="12.75" x14ac:dyDescent="0.2">
      <c r="A764" s="134"/>
    </row>
    <row r="765" spans="1:1" ht="12.75" x14ac:dyDescent="0.2">
      <c r="A765" s="134"/>
    </row>
    <row r="766" spans="1:1" ht="12.75" x14ac:dyDescent="0.2">
      <c r="A766" s="134"/>
    </row>
    <row r="767" spans="1:1" ht="12.75" x14ac:dyDescent="0.2">
      <c r="A767" s="134"/>
    </row>
    <row r="768" spans="1:1" ht="12.75" x14ac:dyDescent="0.2">
      <c r="A768" s="134"/>
    </row>
    <row r="769" spans="1:1" ht="12.75" x14ac:dyDescent="0.2">
      <c r="A769" s="134"/>
    </row>
    <row r="770" spans="1:1" ht="12.75" x14ac:dyDescent="0.2">
      <c r="A770" s="134"/>
    </row>
    <row r="771" spans="1:1" ht="12.75" x14ac:dyDescent="0.2">
      <c r="A771" s="134"/>
    </row>
    <row r="772" spans="1:1" ht="12.75" x14ac:dyDescent="0.2">
      <c r="A772" s="134"/>
    </row>
    <row r="773" spans="1:1" ht="12.75" x14ac:dyDescent="0.2">
      <c r="A773" s="134"/>
    </row>
    <row r="774" spans="1:1" ht="12.75" x14ac:dyDescent="0.2">
      <c r="A774" s="134"/>
    </row>
    <row r="775" spans="1:1" ht="12.75" x14ac:dyDescent="0.2">
      <c r="A775" s="134"/>
    </row>
    <row r="776" spans="1:1" ht="12.75" x14ac:dyDescent="0.2">
      <c r="A776" s="134"/>
    </row>
    <row r="777" spans="1:1" ht="12.75" x14ac:dyDescent="0.2">
      <c r="A777" s="134"/>
    </row>
    <row r="778" spans="1:1" ht="12.75" x14ac:dyDescent="0.2">
      <c r="A778" s="134"/>
    </row>
    <row r="779" spans="1:1" ht="12.75" x14ac:dyDescent="0.2">
      <c r="A779" s="134"/>
    </row>
    <row r="780" spans="1:1" ht="12.75" x14ac:dyDescent="0.2">
      <c r="A780" s="134"/>
    </row>
    <row r="781" spans="1:1" ht="12.75" x14ac:dyDescent="0.2">
      <c r="A781" s="134"/>
    </row>
    <row r="782" spans="1:1" ht="12.75" x14ac:dyDescent="0.2">
      <c r="A782" s="134"/>
    </row>
    <row r="783" spans="1:1" ht="12.75" x14ac:dyDescent="0.2">
      <c r="A783" s="134"/>
    </row>
    <row r="784" spans="1:1" ht="12.75" x14ac:dyDescent="0.2">
      <c r="A784" s="134"/>
    </row>
    <row r="785" spans="1:1" ht="12.75" x14ac:dyDescent="0.2">
      <c r="A785" s="134"/>
    </row>
    <row r="786" spans="1:1" ht="12.75" x14ac:dyDescent="0.2">
      <c r="A786" s="134"/>
    </row>
    <row r="787" spans="1:1" ht="12.75" x14ac:dyDescent="0.2">
      <c r="A787" s="134"/>
    </row>
    <row r="788" spans="1:1" ht="12.75" x14ac:dyDescent="0.2">
      <c r="A788" s="134"/>
    </row>
    <row r="789" spans="1:1" ht="12.75" x14ac:dyDescent="0.2">
      <c r="A789" s="134"/>
    </row>
    <row r="790" spans="1:1" ht="12.75" x14ac:dyDescent="0.2">
      <c r="A790" s="134"/>
    </row>
    <row r="791" spans="1:1" ht="12.75" x14ac:dyDescent="0.2">
      <c r="A791" s="134"/>
    </row>
    <row r="792" spans="1:1" ht="12.75" x14ac:dyDescent="0.2">
      <c r="A792" s="134"/>
    </row>
    <row r="793" spans="1:1" ht="12.75" x14ac:dyDescent="0.2">
      <c r="A793" s="134"/>
    </row>
    <row r="794" spans="1:1" ht="12.75" x14ac:dyDescent="0.2">
      <c r="A794" s="134"/>
    </row>
    <row r="795" spans="1:1" ht="12.75" x14ac:dyDescent="0.2">
      <c r="A795" s="134"/>
    </row>
    <row r="796" spans="1:1" ht="12.75" x14ac:dyDescent="0.2">
      <c r="A796" s="134"/>
    </row>
    <row r="797" spans="1:1" ht="12.75" x14ac:dyDescent="0.2">
      <c r="A797" s="134"/>
    </row>
    <row r="798" spans="1:1" ht="12.75" x14ac:dyDescent="0.2">
      <c r="A798" s="134"/>
    </row>
    <row r="799" spans="1:1" ht="12.75" x14ac:dyDescent="0.2">
      <c r="A799" s="134"/>
    </row>
    <row r="800" spans="1:1" ht="12.75" x14ac:dyDescent="0.2">
      <c r="A800" s="134"/>
    </row>
    <row r="801" spans="1:1" ht="12.75" x14ac:dyDescent="0.2">
      <c r="A801" s="134"/>
    </row>
    <row r="802" spans="1:1" ht="12.75" x14ac:dyDescent="0.2">
      <c r="A802" s="134"/>
    </row>
    <row r="803" spans="1:1" ht="12.75" x14ac:dyDescent="0.2">
      <c r="A803" s="134"/>
    </row>
    <row r="804" spans="1:1" ht="12.75" x14ac:dyDescent="0.2">
      <c r="A804" s="134"/>
    </row>
    <row r="805" spans="1:1" ht="12.75" x14ac:dyDescent="0.2">
      <c r="A805" s="134"/>
    </row>
    <row r="806" spans="1:1" ht="12.75" x14ac:dyDescent="0.2">
      <c r="A806" s="134"/>
    </row>
    <row r="807" spans="1:1" ht="12.75" x14ac:dyDescent="0.2">
      <c r="A807" s="134"/>
    </row>
    <row r="808" spans="1:1" ht="12.75" x14ac:dyDescent="0.2">
      <c r="A808" s="134"/>
    </row>
    <row r="809" spans="1:1" ht="12.75" x14ac:dyDescent="0.2">
      <c r="A809" s="134"/>
    </row>
    <row r="810" spans="1:1" ht="12.75" x14ac:dyDescent="0.2">
      <c r="A810" s="134"/>
    </row>
    <row r="811" spans="1:1" ht="12.75" x14ac:dyDescent="0.2">
      <c r="A811" s="134"/>
    </row>
    <row r="812" spans="1:1" ht="12.75" x14ac:dyDescent="0.2">
      <c r="A812" s="134"/>
    </row>
    <row r="813" spans="1:1" ht="12.75" x14ac:dyDescent="0.2">
      <c r="A813" s="134"/>
    </row>
    <row r="814" spans="1:1" ht="12.75" x14ac:dyDescent="0.2">
      <c r="A814" s="134"/>
    </row>
    <row r="815" spans="1:1" ht="12.75" x14ac:dyDescent="0.2">
      <c r="A815" s="134"/>
    </row>
    <row r="816" spans="1:1" ht="12.75" x14ac:dyDescent="0.2">
      <c r="A816" s="134"/>
    </row>
    <row r="817" spans="1:1" ht="12.75" x14ac:dyDescent="0.2">
      <c r="A817" s="134"/>
    </row>
    <row r="818" spans="1:1" ht="12.75" x14ac:dyDescent="0.2">
      <c r="A818" s="134"/>
    </row>
    <row r="819" spans="1:1" ht="12.75" x14ac:dyDescent="0.2">
      <c r="A819" s="134"/>
    </row>
    <row r="820" spans="1:1" ht="12.75" x14ac:dyDescent="0.2">
      <c r="A820" s="134"/>
    </row>
    <row r="821" spans="1:1" ht="12.75" x14ac:dyDescent="0.2">
      <c r="A821" s="134"/>
    </row>
    <row r="822" spans="1:1" ht="12.75" x14ac:dyDescent="0.2">
      <c r="A822" s="134"/>
    </row>
    <row r="823" spans="1:1" ht="12.75" x14ac:dyDescent="0.2">
      <c r="A823" s="134"/>
    </row>
    <row r="824" spans="1:1" ht="12.75" x14ac:dyDescent="0.2">
      <c r="A824" s="134"/>
    </row>
    <row r="825" spans="1:1" ht="12.75" x14ac:dyDescent="0.2">
      <c r="A825" s="134"/>
    </row>
    <row r="826" spans="1:1" ht="12.75" x14ac:dyDescent="0.2">
      <c r="A826" s="134"/>
    </row>
    <row r="827" spans="1:1" ht="12.75" x14ac:dyDescent="0.2">
      <c r="A827" s="134"/>
    </row>
    <row r="828" spans="1:1" ht="12.75" x14ac:dyDescent="0.2">
      <c r="A828" s="134"/>
    </row>
    <row r="829" spans="1:1" ht="12.75" x14ac:dyDescent="0.2">
      <c r="A829" s="134"/>
    </row>
    <row r="830" spans="1:1" ht="12.75" x14ac:dyDescent="0.2">
      <c r="A830" s="134"/>
    </row>
    <row r="831" spans="1:1" ht="12.75" x14ac:dyDescent="0.2">
      <c r="A831" s="134"/>
    </row>
    <row r="832" spans="1:1" ht="12.75" x14ac:dyDescent="0.2">
      <c r="A832" s="134"/>
    </row>
    <row r="833" spans="1:1" ht="12.75" x14ac:dyDescent="0.2">
      <c r="A833" s="134"/>
    </row>
    <row r="834" spans="1:1" ht="12.75" x14ac:dyDescent="0.2">
      <c r="A834" s="134"/>
    </row>
    <row r="835" spans="1:1" ht="12.75" x14ac:dyDescent="0.2">
      <c r="A835" s="134"/>
    </row>
    <row r="836" spans="1:1" ht="12.75" x14ac:dyDescent="0.2">
      <c r="A836" s="134"/>
    </row>
    <row r="837" spans="1:1" ht="12.75" x14ac:dyDescent="0.2">
      <c r="A837" s="134"/>
    </row>
    <row r="838" spans="1:1" ht="12.75" x14ac:dyDescent="0.2">
      <c r="A838" s="134"/>
    </row>
    <row r="839" spans="1:1" ht="12.75" x14ac:dyDescent="0.2">
      <c r="A839" s="134"/>
    </row>
    <row r="840" spans="1:1" ht="12.75" x14ac:dyDescent="0.2">
      <c r="A840" s="134"/>
    </row>
    <row r="841" spans="1:1" ht="12.75" x14ac:dyDescent="0.2">
      <c r="A841" s="134"/>
    </row>
    <row r="842" spans="1:1" ht="12.75" x14ac:dyDescent="0.2">
      <c r="A842" s="134"/>
    </row>
    <row r="843" spans="1:1" ht="12.75" x14ac:dyDescent="0.2">
      <c r="A843" s="134"/>
    </row>
    <row r="844" spans="1:1" ht="12.75" x14ac:dyDescent="0.2">
      <c r="A844" s="134"/>
    </row>
    <row r="845" spans="1:1" ht="12.75" x14ac:dyDescent="0.2">
      <c r="A845" s="134"/>
    </row>
    <row r="846" spans="1:1" ht="12.75" x14ac:dyDescent="0.2">
      <c r="A846" s="134"/>
    </row>
    <row r="847" spans="1:1" ht="12.75" x14ac:dyDescent="0.2">
      <c r="A847" s="134"/>
    </row>
    <row r="848" spans="1:1" ht="12.75" x14ac:dyDescent="0.2">
      <c r="A848" s="134"/>
    </row>
    <row r="849" spans="1:1" ht="12.75" x14ac:dyDescent="0.2">
      <c r="A849" s="134"/>
    </row>
    <row r="850" spans="1:1" ht="12.75" x14ac:dyDescent="0.2">
      <c r="A850" s="134"/>
    </row>
    <row r="851" spans="1:1" ht="12.75" x14ac:dyDescent="0.2">
      <c r="A851" s="134"/>
    </row>
    <row r="852" spans="1:1" ht="12.75" x14ac:dyDescent="0.2">
      <c r="A852" s="134"/>
    </row>
    <row r="853" spans="1:1" ht="12.75" x14ac:dyDescent="0.2">
      <c r="A853" s="134"/>
    </row>
    <row r="854" spans="1:1" ht="12.75" x14ac:dyDescent="0.2">
      <c r="A854" s="134"/>
    </row>
    <row r="855" spans="1:1" ht="12.75" x14ac:dyDescent="0.2">
      <c r="A855" s="134"/>
    </row>
    <row r="856" spans="1:1" ht="12.75" x14ac:dyDescent="0.2">
      <c r="A856" s="134"/>
    </row>
    <row r="857" spans="1:1" ht="12.75" x14ac:dyDescent="0.2">
      <c r="A857" s="134"/>
    </row>
    <row r="858" spans="1:1" ht="12.75" x14ac:dyDescent="0.2">
      <c r="A858" s="134"/>
    </row>
    <row r="859" spans="1:1" ht="12.75" x14ac:dyDescent="0.2">
      <c r="A859" s="134"/>
    </row>
    <row r="860" spans="1:1" ht="12.75" x14ac:dyDescent="0.2">
      <c r="A860" s="134"/>
    </row>
    <row r="861" spans="1:1" ht="12.75" x14ac:dyDescent="0.2">
      <c r="A861" s="134"/>
    </row>
    <row r="862" spans="1:1" ht="12.75" x14ac:dyDescent="0.2">
      <c r="A862" s="134"/>
    </row>
    <row r="863" spans="1:1" ht="12.75" x14ac:dyDescent="0.2">
      <c r="A863" s="134"/>
    </row>
    <row r="864" spans="1:1" ht="12.75" x14ac:dyDescent="0.2">
      <c r="A864" s="134"/>
    </row>
    <row r="865" spans="1:1" ht="12.75" x14ac:dyDescent="0.2">
      <c r="A865" s="134"/>
    </row>
    <row r="866" spans="1:1" ht="12.75" x14ac:dyDescent="0.2">
      <c r="A866" s="134"/>
    </row>
    <row r="867" spans="1:1" ht="12.75" x14ac:dyDescent="0.2">
      <c r="A867" s="134"/>
    </row>
    <row r="868" spans="1:1" ht="12.75" x14ac:dyDescent="0.2">
      <c r="A868" s="134"/>
    </row>
    <row r="869" spans="1:1" ht="12.75" x14ac:dyDescent="0.2">
      <c r="A869" s="134"/>
    </row>
    <row r="870" spans="1:1" ht="12.75" x14ac:dyDescent="0.2">
      <c r="A870" s="134"/>
    </row>
    <row r="871" spans="1:1" ht="12.75" x14ac:dyDescent="0.2">
      <c r="A871" s="134"/>
    </row>
    <row r="872" spans="1:1" ht="12.75" x14ac:dyDescent="0.2">
      <c r="A872" s="134"/>
    </row>
    <row r="873" spans="1:1" ht="12.75" x14ac:dyDescent="0.2">
      <c r="A873" s="134"/>
    </row>
    <row r="874" spans="1:1" ht="12.75" x14ac:dyDescent="0.2">
      <c r="A874" s="134"/>
    </row>
    <row r="875" spans="1:1" ht="12.75" x14ac:dyDescent="0.2">
      <c r="A875" s="134"/>
    </row>
    <row r="876" spans="1:1" ht="12.75" x14ac:dyDescent="0.2">
      <c r="A876" s="134"/>
    </row>
    <row r="877" spans="1:1" ht="12.75" x14ac:dyDescent="0.2">
      <c r="A877" s="134"/>
    </row>
    <row r="878" spans="1:1" ht="12.75" x14ac:dyDescent="0.2">
      <c r="A878" s="134"/>
    </row>
    <row r="879" spans="1:1" ht="12.75" x14ac:dyDescent="0.2">
      <c r="A879" s="134"/>
    </row>
    <row r="880" spans="1:1" ht="12.75" x14ac:dyDescent="0.2">
      <c r="A880" s="134"/>
    </row>
    <row r="881" spans="1:1" ht="12.75" x14ac:dyDescent="0.2">
      <c r="A881" s="134"/>
    </row>
    <row r="882" spans="1:1" ht="12.75" x14ac:dyDescent="0.2">
      <c r="A882" s="134"/>
    </row>
    <row r="883" spans="1:1" ht="12.75" x14ac:dyDescent="0.2">
      <c r="A883" s="134"/>
    </row>
    <row r="884" spans="1:1" ht="12.75" x14ac:dyDescent="0.2">
      <c r="A884" s="134"/>
    </row>
    <row r="885" spans="1:1" ht="12.75" x14ac:dyDescent="0.2">
      <c r="A885" s="134"/>
    </row>
    <row r="886" spans="1:1" ht="12.75" x14ac:dyDescent="0.2">
      <c r="A886" s="134"/>
    </row>
    <row r="887" spans="1:1" ht="12.75" x14ac:dyDescent="0.2">
      <c r="A887" s="134"/>
    </row>
    <row r="888" spans="1:1" ht="12.75" x14ac:dyDescent="0.2">
      <c r="A888" s="134"/>
    </row>
    <row r="889" spans="1:1" ht="12.75" x14ac:dyDescent="0.2">
      <c r="A889" s="134"/>
    </row>
    <row r="890" spans="1:1" ht="12.75" x14ac:dyDescent="0.2">
      <c r="A890" s="134"/>
    </row>
    <row r="891" spans="1:1" ht="12.75" x14ac:dyDescent="0.2">
      <c r="A891" s="134"/>
    </row>
    <row r="892" spans="1:1" ht="12.75" x14ac:dyDescent="0.2">
      <c r="A892" s="134"/>
    </row>
    <row r="893" spans="1:1" ht="12.75" x14ac:dyDescent="0.2">
      <c r="A893" s="134"/>
    </row>
    <row r="894" spans="1:1" ht="12.75" x14ac:dyDescent="0.2">
      <c r="A894" s="134"/>
    </row>
    <row r="895" spans="1:1" ht="12.75" x14ac:dyDescent="0.2">
      <c r="A895" s="134"/>
    </row>
    <row r="896" spans="1:1" ht="12.75" x14ac:dyDescent="0.2">
      <c r="A896" s="134"/>
    </row>
    <row r="897" spans="1:1" ht="12.75" x14ac:dyDescent="0.2">
      <c r="A897" s="134"/>
    </row>
    <row r="898" spans="1:1" ht="12.75" x14ac:dyDescent="0.2">
      <c r="A898" s="134"/>
    </row>
    <row r="899" spans="1:1" ht="12.75" x14ac:dyDescent="0.2">
      <c r="A899" s="134"/>
    </row>
    <row r="900" spans="1:1" ht="12.75" x14ac:dyDescent="0.2">
      <c r="A900" s="134"/>
    </row>
    <row r="901" spans="1:1" ht="12.75" x14ac:dyDescent="0.2">
      <c r="A901" s="134"/>
    </row>
    <row r="902" spans="1:1" ht="12.75" x14ac:dyDescent="0.2">
      <c r="A902" s="134"/>
    </row>
    <row r="903" spans="1:1" ht="12.75" x14ac:dyDescent="0.2">
      <c r="A903" s="134"/>
    </row>
    <row r="904" spans="1:1" ht="12.75" x14ac:dyDescent="0.2">
      <c r="A904" s="134"/>
    </row>
    <row r="905" spans="1:1" ht="12.75" x14ac:dyDescent="0.2">
      <c r="A905" s="134"/>
    </row>
    <row r="906" spans="1:1" ht="12.75" x14ac:dyDescent="0.2">
      <c r="A906" s="134"/>
    </row>
    <row r="907" spans="1:1" ht="12.75" x14ac:dyDescent="0.2">
      <c r="A907" s="134"/>
    </row>
    <row r="908" spans="1:1" ht="12.75" x14ac:dyDescent="0.2">
      <c r="A908" s="134"/>
    </row>
    <row r="909" spans="1:1" ht="12.75" x14ac:dyDescent="0.2">
      <c r="A909" s="134"/>
    </row>
    <row r="910" spans="1:1" ht="12.75" x14ac:dyDescent="0.2">
      <c r="A910" s="134"/>
    </row>
    <row r="911" spans="1:1" ht="12.75" x14ac:dyDescent="0.2">
      <c r="A911" s="134"/>
    </row>
    <row r="912" spans="1:1" ht="12.75" x14ac:dyDescent="0.2">
      <c r="A912" s="134"/>
    </row>
    <row r="913" spans="1:1" ht="12.75" x14ac:dyDescent="0.2">
      <c r="A913" s="134"/>
    </row>
    <row r="914" spans="1:1" ht="12.75" x14ac:dyDescent="0.2">
      <c r="A914" s="134"/>
    </row>
    <row r="915" spans="1:1" ht="12.75" x14ac:dyDescent="0.2">
      <c r="A915" s="134"/>
    </row>
    <row r="916" spans="1:1" ht="12.75" x14ac:dyDescent="0.2">
      <c r="A916" s="134"/>
    </row>
    <row r="917" spans="1:1" ht="12.75" x14ac:dyDescent="0.2">
      <c r="A917" s="134"/>
    </row>
    <row r="918" spans="1:1" ht="12.75" x14ac:dyDescent="0.2">
      <c r="A918" s="134"/>
    </row>
    <row r="919" spans="1:1" ht="12.75" x14ac:dyDescent="0.2">
      <c r="A919" s="134"/>
    </row>
    <row r="920" spans="1:1" ht="12.75" x14ac:dyDescent="0.2">
      <c r="A920" s="134"/>
    </row>
    <row r="921" spans="1:1" ht="12.75" x14ac:dyDescent="0.2">
      <c r="A921" s="134"/>
    </row>
    <row r="922" spans="1:1" ht="12.75" x14ac:dyDescent="0.2">
      <c r="A922" s="134"/>
    </row>
    <row r="923" spans="1:1" ht="12.75" x14ac:dyDescent="0.2">
      <c r="A923" s="134"/>
    </row>
    <row r="924" spans="1:1" ht="12.75" x14ac:dyDescent="0.2">
      <c r="A924" s="134"/>
    </row>
    <row r="925" spans="1:1" ht="12.75" x14ac:dyDescent="0.2">
      <c r="A925" s="134"/>
    </row>
    <row r="926" spans="1:1" ht="12.75" x14ac:dyDescent="0.2">
      <c r="A926" s="134"/>
    </row>
    <row r="927" spans="1:1" ht="12.75" x14ac:dyDescent="0.2">
      <c r="A927" s="134"/>
    </row>
    <row r="928" spans="1:1" ht="12.75" x14ac:dyDescent="0.2">
      <c r="A928" s="134"/>
    </row>
    <row r="929" spans="1:1" ht="12.75" x14ac:dyDescent="0.2">
      <c r="A929" s="134"/>
    </row>
    <row r="930" spans="1:1" ht="12.75" x14ac:dyDescent="0.2">
      <c r="A930" s="134"/>
    </row>
    <row r="931" spans="1:1" ht="12.75" x14ac:dyDescent="0.2">
      <c r="A931" s="134"/>
    </row>
    <row r="932" spans="1:1" ht="12.75" x14ac:dyDescent="0.2">
      <c r="A932" s="134"/>
    </row>
    <row r="933" spans="1:1" ht="12.75" x14ac:dyDescent="0.2">
      <c r="A933" s="134"/>
    </row>
    <row r="934" spans="1:1" ht="12.75" x14ac:dyDescent="0.2">
      <c r="A934" s="134"/>
    </row>
    <row r="935" spans="1:1" ht="12.75" x14ac:dyDescent="0.2">
      <c r="A935" s="134"/>
    </row>
    <row r="936" spans="1:1" ht="12.75" x14ac:dyDescent="0.2">
      <c r="A936" s="134"/>
    </row>
    <row r="937" spans="1:1" ht="12.75" x14ac:dyDescent="0.2">
      <c r="A937" s="134"/>
    </row>
    <row r="938" spans="1:1" ht="12.75" x14ac:dyDescent="0.2">
      <c r="A938" s="134"/>
    </row>
    <row r="939" spans="1:1" ht="12.75" x14ac:dyDescent="0.2">
      <c r="A939" s="134"/>
    </row>
    <row r="940" spans="1:1" ht="12.75" x14ac:dyDescent="0.2">
      <c r="A940" s="134"/>
    </row>
    <row r="941" spans="1:1" ht="12.75" x14ac:dyDescent="0.2">
      <c r="A941" s="134"/>
    </row>
    <row r="942" spans="1:1" ht="12.75" x14ac:dyDescent="0.2">
      <c r="A942" s="134"/>
    </row>
    <row r="943" spans="1:1" ht="12.75" x14ac:dyDescent="0.2">
      <c r="A943" s="134"/>
    </row>
    <row r="944" spans="1:1" ht="12.75" x14ac:dyDescent="0.2">
      <c r="A944" s="134"/>
    </row>
    <row r="945" spans="1:1" ht="12.75" x14ac:dyDescent="0.2">
      <c r="A945" s="134"/>
    </row>
    <row r="946" spans="1:1" ht="12.75" x14ac:dyDescent="0.2">
      <c r="A946" s="134"/>
    </row>
    <row r="947" spans="1:1" ht="12.75" x14ac:dyDescent="0.2">
      <c r="A947" s="134"/>
    </row>
    <row r="948" spans="1:1" ht="12.75" x14ac:dyDescent="0.2">
      <c r="A948" s="134"/>
    </row>
    <row r="949" spans="1:1" ht="12.75" x14ac:dyDescent="0.2">
      <c r="A949" s="134"/>
    </row>
    <row r="950" spans="1:1" ht="12.75" x14ac:dyDescent="0.2">
      <c r="A950" s="134"/>
    </row>
    <row r="951" spans="1:1" ht="12.75" x14ac:dyDescent="0.2">
      <c r="A951" s="134"/>
    </row>
    <row r="952" spans="1:1" ht="12.75" x14ac:dyDescent="0.2">
      <c r="A952" s="134"/>
    </row>
    <row r="953" spans="1:1" ht="12.75" x14ac:dyDescent="0.2">
      <c r="A953" s="134"/>
    </row>
    <row r="954" spans="1:1" ht="12.75" x14ac:dyDescent="0.2">
      <c r="A954" s="134"/>
    </row>
    <row r="955" spans="1:1" ht="12.75" x14ac:dyDescent="0.2">
      <c r="A955" s="134"/>
    </row>
    <row r="956" spans="1:1" ht="12.75" x14ac:dyDescent="0.2">
      <c r="A956" s="134"/>
    </row>
    <row r="957" spans="1:1" ht="12.75" x14ac:dyDescent="0.2">
      <c r="A957" s="134"/>
    </row>
    <row r="958" spans="1:1" ht="12.75" x14ac:dyDescent="0.2">
      <c r="A958" s="134"/>
    </row>
    <row r="959" spans="1:1" ht="12.75" x14ac:dyDescent="0.2">
      <c r="A959" s="134"/>
    </row>
    <row r="960" spans="1:1" ht="12.75" x14ac:dyDescent="0.2">
      <c r="A960" s="134"/>
    </row>
    <row r="961" spans="1:1" ht="12.75" x14ac:dyDescent="0.2">
      <c r="A961" s="134"/>
    </row>
    <row r="962" spans="1:1" ht="12.75" x14ac:dyDescent="0.2">
      <c r="A962" s="134"/>
    </row>
    <row r="963" spans="1:1" ht="12.75" x14ac:dyDescent="0.2">
      <c r="A963" s="134"/>
    </row>
    <row r="964" spans="1:1" ht="12.75" x14ac:dyDescent="0.2">
      <c r="A964" s="134"/>
    </row>
    <row r="965" spans="1:1" ht="12.75" x14ac:dyDescent="0.2">
      <c r="A965" s="134"/>
    </row>
    <row r="966" spans="1:1" ht="12.75" x14ac:dyDescent="0.2">
      <c r="A966" s="134"/>
    </row>
    <row r="967" spans="1:1" ht="12.75" x14ac:dyDescent="0.2">
      <c r="A967" s="134"/>
    </row>
    <row r="968" spans="1:1" ht="12.75" x14ac:dyDescent="0.2">
      <c r="A968" s="134"/>
    </row>
    <row r="969" spans="1:1" ht="12.75" x14ac:dyDescent="0.2">
      <c r="A969" s="134"/>
    </row>
    <row r="970" spans="1:1" ht="12.75" x14ac:dyDescent="0.2">
      <c r="A970" s="134"/>
    </row>
    <row r="971" spans="1:1" ht="12.75" x14ac:dyDescent="0.2">
      <c r="A971" s="134"/>
    </row>
    <row r="972" spans="1:1" ht="12.75" x14ac:dyDescent="0.2">
      <c r="A972" s="134"/>
    </row>
    <row r="973" spans="1:1" ht="12.75" x14ac:dyDescent="0.2">
      <c r="A973" s="134"/>
    </row>
    <row r="974" spans="1:1" ht="12.75" x14ac:dyDescent="0.2">
      <c r="A974" s="134"/>
    </row>
    <row r="975" spans="1:1" ht="12.75" x14ac:dyDescent="0.2">
      <c r="A975" s="134"/>
    </row>
    <row r="976" spans="1:1" ht="12.75" x14ac:dyDescent="0.2">
      <c r="A976" s="134"/>
    </row>
    <row r="977" spans="1:1" ht="12.75" x14ac:dyDescent="0.2">
      <c r="A977" s="134"/>
    </row>
    <row r="978" spans="1:1" ht="12.75" x14ac:dyDescent="0.2">
      <c r="A978" s="134"/>
    </row>
    <row r="979" spans="1:1" ht="12.75" x14ac:dyDescent="0.2">
      <c r="A979" s="134"/>
    </row>
    <row r="980" spans="1:1" ht="12.75" x14ac:dyDescent="0.2">
      <c r="A980" s="134"/>
    </row>
    <row r="981" spans="1:1" ht="12.75" x14ac:dyDescent="0.2">
      <c r="A981" s="134"/>
    </row>
    <row r="982" spans="1:1" ht="12.75" x14ac:dyDescent="0.2">
      <c r="A982" s="134"/>
    </row>
    <row r="983" spans="1:1" ht="12.75" x14ac:dyDescent="0.2">
      <c r="A983" s="134"/>
    </row>
    <row r="984" spans="1:1" ht="12.75" x14ac:dyDescent="0.2">
      <c r="A984" s="134"/>
    </row>
    <row r="985" spans="1:1" ht="12.75" x14ac:dyDescent="0.2">
      <c r="A985" s="134"/>
    </row>
    <row r="986" spans="1:1" ht="12.75" x14ac:dyDescent="0.2">
      <c r="A986" s="134"/>
    </row>
    <row r="987" spans="1:1" ht="12.75" x14ac:dyDescent="0.2">
      <c r="A987" s="134"/>
    </row>
    <row r="988" spans="1:1" ht="12.75" x14ac:dyDescent="0.2">
      <c r="A988" s="134"/>
    </row>
    <row r="989" spans="1:1" ht="12.75" x14ac:dyDescent="0.2">
      <c r="A989" s="134"/>
    </row>
    <row r="990" spans="1:1" ht="12.75" x14ac:dyDescent="0.2">
      <c r="A990" s="134"/>
    </row>
    <row r="991" spans="1:1" ht="12.75" x14ac:dyDescent="0.2">
      <c r="A991" s="134"/>
    </row>
    <row r="992" spans="1:1" ht="12.75" x14ac:dyDescent="0.2">
      <c r="A992" s="134"/>
    </row>
    <row r="993" spans="1:1" ht="12.75" x14ac:dyDescent="0.2">
      <c r="A993" s="134"/>
    </row>
    <row r="994" spans="1:1" ht="12.75" x14ac:dyDescent="0.2">
      <c r="A994" s="134"/>
    </row>
    <row r="995" spans="1:1" ht="12.75" x14ac:dyDescent="0.2">
      <c r="A995" s="134"/>
    </row>
    <row r="996" spans="1:1" ht="12.75" x14ac:dyDescent="0.2">
      <c r="A996" s="134"/>
    </row>
    <row r="997" spans="1:1" ht="12.75" x14ac:dyDescent="0.2">
      <c r="A997" s="134"/>
    </row>
    <row r="998" spans="1:1" ht="12.75" x14ac:dyDescent="0.2">
      <c r="A998" s="134"/>
    </row>
    <row r="999" spans="1:1" ht="12.75" x14ac:dyDescent="0.2">
      <c r="A999" s="134"/>
    </row>
  </sheetData>
  <mergeCells count="46">
    <mergeCell ref="A45:A46"/>
    <mergeCell ref="B45:B46"/>
    <mergeCell ref="C45:C46"/>
    <mergeCell ref="D45:D46"/>
    <mergeCell ref="A11:A13"/>
    <mergeCell ref="D11:D13"/>
    <mergeCell ref="A20:A21"/>
    <mergeCell ref="A24:A25"/>
    <mergeCell ref="C24:C25"/>
    <mergeCell ref="D24:D25"/>
    <mergeCell ref="A16:A18"/>
    <mergeCell ref="A5:A10"/>
    <mergeCell ref="B5:B10"/>
    <mergeCell ref="C5:C10"/>
    <mergeCell ref="D5:D6"/>
    <mergeCell ref="D7:D8"/>
    <mergeCell ref="A3:A4"/>
    <mergeCell ref="B3:B4"/>
    <mergeCell ref="C3:C4"/>
    <mergeCell ref="D3:D4"/>
    <mergeCell ref="A40:A42"/>
    <mergeCell ref="C40:C42"/>
    <mergeCell ref="D40:D42"/>
    <mergeCell ref="C28:C29"/>
    <mergeCell ref="D28:D29"/>
    <mergeCell ref="A31:A33"/>
    <mergeCell ref="C31:C33"/>
    <mergeCell ref="D31:D33"/>
    <mergeCell ref="A34:A35"/>
    <mergeCell ref="C34:C35"/>
    <mergeCell ref="A28:A29"/>
    <mergeCell ref="D16:D18"/>
    <mergeCell ref="B20:B35"/>
    <mergeCell ref="D20:D21"/>
    <mergeCell ref="D26:D27"/>
    <mergeCell ref="A36:A39"/>
    <mergeCell ref="B36:B39"/>
    <mergeCell ref="C36:C39"/>
    <mergeCell ref="D36:D39"/>
    <mergeCell ref="A26:A27"/>
    <mergeCell ref="C26:C27"/>
    <mergeCell ref="C16:C18"/>
    <mergeCell ref="C20:C21"/>
    <mergeCell ref="B11:B13"/>
    <mergeCell ref="C11:C13"/>
    <mergeCell ref="B16:B18"/>
  </mergeCells>
  <conditionalFormatting sqref="A2:K46">
    <cfRule type="expression" dxfId="23" priority="1">
      <formula>#REF!="Primera Fase"</formula>
    </cfRule>
    <cfRule type="expression" dxfId="22" priority="2">
      <formula>#REF!="Segunda Fase"</formula>
    </cfRule>
    <cfRule type="expression" dxfId="21" priority="3">
      <formula>#REF!="Conflicto de Turno"</formula>
    </cfRule>
  </conditionalFormatting>
  <hyperlinks>
    <hyperlink ref="I3" r:id="rId1" xr:uid="{00000000-0004-0000-0200-000002000000}"/>
    <hyperlink ref="J3" r:id="rId2" xr:uid="{00000000-0004-0000-0200-000003000000}"/>
    <hyperlink ref="I4" r:id="rId3" xr:uid="{00000000-0004-0000-0200-000004000000}"/>
    <hyperlink ref="J4" r:id="rId4" xr:uid="{00000000-0004-0000-0200-000005000000}"/>
    <hyperlink ref="I5" r:id="rId5" xr:uid="{00000000-0004-0000-0200-000006000000}"/>
    <hyperlink ref="J5" r:id="rId6" xr:uid="{00000000-0004-0000-0200-000007000000}"/>
    <hyperlink ref="I6" r:id="rId7" xr:uid="{00000000-0004-0000-0200-000008000000}"/>
    <hyperlink ref="J6" r:id="rId8" xr:uid="{00000000-0004-0000-0200-000009000000}"/>
    <hyperlink ref="I7" r:id="rId9" xr:uid="{00000000-0004-0000-0200-00000A000000}"/>
    <hyperlink ref="J7" r:id="rId10" xr:uid="{00000000-0004-0000-0200-00000B000000}"/>
    <hyperlink ref="I8" r:id="rId11" xr:uid="{00000000-0004-0000-0200-00000C000000}"/>
    <hyperlink ref="J8" r:id="rId12" xr:uid="{00000000-0004-0000-0200-00000D000000}"/>
    <hyperlink ref="I9" r:id="rId13" xr:uid="{00000000-0004-0000-0200-00000E000000}"/>
    <hyperlink ref="J9" r:id="rId14" xr:uid="{00000000-0004-0000-0200-00000F000000}"/>
    <hyperlink ref="I10" r:id="rId15" xr:uid="{00000000-0004-0000-0200-000010000000}"/>
    <hyperlink ref="J10" r:id="rId16" xr:uid="{00000000-0004-0000-0200-000011000000}"/>
    <hyperlink ref="I11" r:id="rId17" xr:uid="{00000000-0004-0000-0200-000012000000}"/>
    <hyperlink ref="J11" r:id="rId18" xr:uid="{00000000-0004-0000-0200-000013000000}"/>
    <hyperlink ref="I12" r:id="rId19" xr:uid="{00000000-0004-0000-0200-000014000000}"/>
    <hyperlink ref="J12" r:id="rId20" xr:uid="{00000000-0004-0000-0200-000015000000}"/>
    <hyperlink ref="I13" r:id="rId21" xr:uid="{00000000-0004-0000-0200-000016000000}"/>
    <hyperlink ref="J13" r:id="rId22" xr:uid="{00000000-0004-0000-0200-000017000000}"/>
    <hyperlink ref="I14" r:id="rId23" xr:uid="{00000000-0004-0000-0200-000018000000}"/>
    <hyperlink ref="J14" r:id="rId24" xr:uid="{00000000-0004-0000-0200-000019000000}"/>
    <hyperlink ref="I15" r:id="rId25" xr:uid="{00000000-0004-0000-0200-00001A000000}"/>
    <hyperlink ref="J15" r:id="rId26" xr:uid="{00000000-0004-0000-0200-00001B000000}"/>
    <hyperlink ref="I16" r:id="rId27" xr:uid="{00000000-0004-0000-0200-00001C000000}"/>
    <hyperlink ref="J16" r:id="rId28" xr:uid="{00000000-0004-0000-0200-00001D000000}"/>
    <hyperlink ref="I17" r:id="rId29" xr:uid="{00000000-0004-0000-0200-00001E000000}"/>
    <hyperlink ref="J17" r:id="rId30" xr:uid="{00000000-0004-0000-0200-00001F000000}"/>
    <hyperlink ref="I18" r:id="rId31" xr:uid="{00000000-0004-0000-0200-000020000000}"/>
    <hyperlink ref="J18" r:id="rId32" xr:uid="{00000000-0004-0000-0200-000021000000}"/>
    <hyperlink ref="I19" r:id="rId33" xr:uid="{00000000-0004-0000-0200-000022000000}"/>
    <hyperlink ref="J19" r:id="rId34" xr:uid="{00000000-0004-0000-0200-000023000000}"/>
    <hyperlink ref="I20" r:id="rId35" xr:uid="{00000000-0004-0000-0200-000024000000}"/>
    <hyperlink ref="J20" r:id="rId36" xr:uid="{00000000-0004-0000-0200-000025000000}"/>
    <hyperlink ref="I21" r:id="rId37" xr:uid="{00000000-0004-0000-0200-000026000000}"/>
    <hyperlink ref="J21" r:id="rId38" xr:uid="{00000000-0004-0000-0200-000027000000}"/>
    <hyperlink ref="I22" r:id="rId39" xr:uid="{00000000-0004-0000-0200-000028000000}"/>
    <hyperlink ref="J22" r:id="rId40" xr:uid="{00000000-0004-0000-0200-000029000000}"/>
    <hyperlink ref="I23" r:id="rId41" xr:uid="{00000000-0004-0000-0200-00002A000000}"/>
    <hyperlink ref="J23" r:id="rId42" xr:uid="{00000000-0004-0000-0200-00002B000000}"/>
    <hyperlink ref="I24" r:id="rId43" xr:uid="{00000000-0004-0000-0200-00002C000000}"/>
    <hyperlink ref="J24" r:id="rId44" xr:uid="{00000000-0004-0000-0200-00002D000000}"/>
    <hyperlink ref="I25" r:id="rId45" xr:uid="{00000000-0004-0000-0200-00002E000000}"/>
    <hyperlink ref="J25" r:id="rId46" xr:uid="{00000000-0004-0000-0200-00002F000000}"/>
    <hyperlink ref="I26" r:id="rId47" xr:uid="{00000000-0004-0000-0200-000030000000}"/>
    <hyperlink ref="J26" r:id="rId48" xr:uid="{00000000-0004-0000-0200-000031000000}"/>
    <hyperlink ref="I27" r:id="rId49" xr:uid="{00000000-0004-0000-0200-000032000000}"/>
    <hyperlink ref="J27" r:id="rId50" xr:uid="{00000000-0004-0000-0200-000033000000}"/>
    <hyperlink ref="I28" r:id="rId51" xr:uid="{00000000-0004-0000-0200-000034000000}"/>
    <hyperlink ref="J28" r:id="rId52" xr:uid="{00000000-0004-0000-0200-000035000000}"/>
    <hyperlink ref="I29" r:id="rId53" xr:uid="{00000000-0004-0000-0200-000036000000}"/>
    <hyperlink ref="J29" r:id="rId54" xr:uid="{00000000-0004-0000-0200-000037000000}"/>
    <hyperlink ref="I30" r:id="rId55" xr:uid="{00000000-0004-0000-0200-000038000000}"/>
    <hyperlink ref="J30" r:id="rId56" xr:uid="{00000000-0004-0000-0200-000039000000}"/>
    <hyperlink ref="I31" r:id="rId57" xr:uid="{00000000-0004-0000-0200-00003A000000}"/>
    <hyperlink ref="J31" r:id="rId58" xr:uid="{00000000-0004-0000-0200-00003B000000}"/>
    <hyperlink ref="I32" r:id="rId59" xr:uid="{00000000-0004-0000-0200-00003C000000}"/>
    <hyperlink ref="J32" r:id="rId60" xr:uid="{00000000-0004-0000-0200-00003D000000}"/>
    <hyperlink ref="I33" r:id="rId61" xr:uid="{00000000-0004-0000-0200-00003E000000}"/>
    <hyperlink ref="J33" r:id="rId62" xr:uid="{00000000-0004-0000-0200-00003F000000}"/>
    <hyperlink ref="I34" r:id="rId63" xr:uid="{00000000-0004-0000-0200-000040000000}"/>
    <hyperlink ref="J34" r:id="rId64" xr:uid="{00000000-0004-0000-0200-000041000000}"/>
    <hyperlink ref="I35" r:id="rId65" xr:uid="{00000000-0004-0000-0200-000042000000}"/>
    <hyperlink ref="J35" r:id="rId66" xr:uid="{00000000-0004-0000-0200-000043000000}"/>
    <hyperlink ref="I36" r:id="rId67" xr:uid="{00000000-0004-0000-0200-000044000000}"/>
    <hyperlink ref="J36" r:id="rId68" xr:uid="{00000000-0004-0000-0200-000045000000}"/>
    <hyperlink ref="I37" r:id="rId69" xr:uid="{00000000-0004-0000-0200-000046000000}"/>
    <hyperlink ref="J37" r:id="rId70" xr:uid="{00000000-0004-0000-0200-000047000000}"/>
    <hyperlink ref="I38" r:id="rId71" xr:uid="{00000000-0004-0000-0200-000048000000}"/>
    <hyperlink ref="J38" r:id="rId72" xr:uid="{00000000-0004-0000-0200-000049000000}"/>
    <hyperlink ref="I39" r:id="rId73" xr:uid="{00000000-0004-0000-0200-00004A000000}"/>
    <hyperlink ref="J39" r:id="rId74" xr:uid="{00000000-0004-0000-0200-00004B000000}"/>
    <hyperlink ref="I40" r:id="rId75" xr:uid="{00000000-0004-0000-0200-00004C000000}"/>
    <hyperlink ref="J40" r:id="rId76" xr:uid="{00000000-0004-0000-0200-00004D000000}"/>
    <hyperlink ref="I41" r:id="rId77" xr:uid="{00000000-0004-0000-0200-00004E000000}"/>
    <hyperlink ref="J41" r:id="rId78" xr:uid="{00000000-0004-0000-0200-00004F000000}"/>
    <hyperlink ref="I42" r:id="rId79" xr:uid="{00000000-0004-0000-0200-000050000000}"/>
    <hyperlink ref="J42" r:id="rId80" xr:uid="{00000000-0004-0000-0200-000051000000}"/>
    <hyperlink ref="I43" r:id="rId81" xr:uid="{00000000-0004-0000-0200-000052000000}"/>
    <hyperlink ref="J43" r:id="rId82" xr:uid="{00000000-0004-0000-0200-000053000000}"/>
    <hyperlink ref="I44" r:id="rId83" xr:uid="{00000000-0004-0000-0200-000054000000}"/>
    <hyperlink ref="J44" r:id="rId84" xr:uid="{00000000-0004-0000-0200-000055000000}"/>
    <hyperlink ref="I45" r:id="rId85" xr:uid="{00000000-0004-0000-0200-000056000000}"/>
    <hyperlink ref="J45" r:id="rId86" xr:uid="{00000000-0004-0000-0200-000057000000}"/>
    <hyperlink ref="I46" r:id="rId87" xr:uid="{00000000-0004-0000-0200-000058000000}"/>
    <hyperlink ref="J46" r:id="rId88" xr:uid="{00000000-0004-0000-0200-000059000000}"/>
    <hyperlink ref="J2" r:id="rId89" xr:uid="{00000000-0004-0000-0200-000001000000}"/>
    <hyperlink ref="I2" r:id="rId90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29"/>
  <sheetViews>
    <sheetView workbookViewId="0"/>
  </sheetViews>
  <sheetFormatPr baseColWidth="10" defaultColWidth="12.5703125" defaultRowHeight="15.75" customHeight="1" x14ac:dyDescent="0.2"/>
  <cols>
    <col min="1" max="1" width="6" customWidth="1"/>
    <col min="2" max="2" width="34.42578125" customWidth="1"/>
    <col min="3" max="3" width="42.140625" customWidth="1"/>
    <col min="4" max="4" width="34.42578125" customWidth="1"/>
    <col min="5" max="5" width="26" customWidth="1"/>
    <col min="6" max="6" width="30.42578125" customWidth="1"/>
    <col min="7" max="7" width="31.7109375" customWidth="1"/>
    <col min="8" max="8" width="44" customWidth="1"/>
    <col min="9" max="9" width="26" customWidth="1"/>
    <col min="10" max="10" width="21" customWidth="1"/>
    <col min="11" max="11" width="39.42578125" customWidth="1"/>
    <col min="12" max="12" width="26" customWidth="1"/>
    <col min="13" max="13" width="36" customWidth="1"/>
    <col min="14" max="14" width="31.42578125" customWidth="1"/>
    <col min="15" max="29" width="47.140625" customWidth="1"/>
  </cols>
  <sheetData>
    <row r="1" spans="1:14" x14ac:dyDescent="0.2">
      <c r="A1" s="212" t="s">
        <v>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x14ac:dyDescent="0.2">
      <c r="A2" s="212" t="s">
        <v>6</v>
      </c>
      <c r="B2" s="174"/>
      <c r="C2" s="212" t="s">
        <v>7</v>
      </c>
      <c r="D2" s="213" t="s">
        <v>21</v>
      </c>
      <c r="E2" s="176"/>
      <c r="F2" s="176"/>
      <c r="G2" s="177"/>
      <c r="H2" s="213" t="s">
        <v>27</v>
      </c>
      <c r="I2" s="176"/>
      <c r="J2" s="177"/>
      <c r="K2" s="213" t="s">
        <v>28</v>
      </c>
      <c r="L2" s="176"/>
      <c r="M2" s="176"/>
      <c r="N2" s="177"/>
    </row>
    <row r="3" spans="1:14" x14ac:dyDescent="0.2">
      <c r="A3" s="174"/>
      <c r="B3" s="174"/>
      <c r="C3" s="174"/>
      <c r="D3" s="15" t="s">
        <v>30</v>
      </c>
      <c r="E3" s="15" t="s">
        <v>31</v>
      </c>
      <c r="F3" s="15" t="s">
        <v>32</v>
      </c>
      <c r="G3" s="15" t="s">
        <v>33</v>
      </c>
      <c r="H3" s="15" t="s">
        <v>30</v>
      </c>
      <c r="I3" s="15" t="s">
        <v>31</v>
      </c>
      <c r="J3" s="15" t="s">
        <v>36</v>
      </c>
      <c r="K3" s="15" t="s">
        <v>37</v>
      </c>
      <c r="L3" s="15" t="s">
        <v>31</v>
      </c>
      <c r="M3" s="15" t="s">
        <v>39</v>
      </c>
      <c r="N3" s="7" t="s">
        <v>40</v>
      </c>
    </row>
    <row r="4" spans="1:14" x14ac:dyDescent="0.2">
      <c r="A4" s="19">
        <v>1</v>
      </c>
      <c r="B4" s="19" t="s">
        <v>41</v>
      </c>
      <c r="C4" s="19">
        <v>18</v>
      </c>
      <c r="D4" s="26" t="s">
        <v>42</v>
      </c>
      <c r="E4" s="19">
        <v>1</v>
      </c>
      <c r="F4" s="29">
        <f t="shared" ref="F4:F15" si="0">3760</f>
        <v>3760</v>
      </c>
      <c r="G4" s="29">
        <f t="shared" ref="G4:G15" si="1">189</f>
        <v>189</v>
      </c>
      <c r="H4" s="26" t="s">
        <v>69</v>
      </c>
      <c r="I4" s="19">
        <f t="shared" ref="I4:I15" si="2">C4</f>
        <v>18</v>
      </c>
      <c r="J4" s="29">
        <f t="shared" ref="J4:J15" si="3">429</f>
        <v>429</v>
      </c>
      <c r="K4" s="19" t="s">
        <v>80</v>
      </c>
      <c r="L4" s="19">
        <v>1</v>
      </c>
      <c r="M4" s="29">
        <f t="shared" ref="M4:M15" si="4">649</f>
        <v>649</v>
      </c>
      <c r="N4" s="36">
        <v>1600</v>
      </c>
    </row>
    <row r="5" spans="1:14" x14ac:dyDescent="0.2">
      <c r="A5" s="19">
        <v>2</v>
      </c>
      <c r="B5" s="19" t="s">
        <v>83</v>
      </c>
      <c r="C5" s="19">
        <v>20</v>
      </c>
      <c r="D5" s="26" t="s">
        <v>42</v>
      </c>
      <c r="E5" s="19">
        <v>1</v>
      </c>
      <c r="F5" s="29">
        <f t="shared" si="0"/>
        <v>3760</v>
      </c>
      <c r="G5" s="29">
        <f t="shared" si="1"/>
        <v>189</v>
      </c>
      <c r="H5" s="26" t="s">
        <v>69</v>
      </c>
      <c r="I5" s="19">
        <f t="shared" si="2"/>
        <v>20</v>
      </c>
      <c r="J5" s="29">
        <f t="shared" si="3"/>
        <v>429</v>
      </c>
      <c r="K5" s="19" t="s">
        <v>80</v>
      </c>
      <c r="L5" s="19">
        <v>1</v>
      </c>
      <c r="M5" s="29">
        <f t="shared" si="4"/>
        <v>649</v>
      </c>
      <c r="N5" s="36">
        <v>1600</v>
      </c>
    </row>
    <row r="6" spans="1:14" x14ac:dyDescent="0.2">
      <c r="A6" s="19">
        <v>3</v>
      </c>
      <c r="B6" s="19" t="s">
        <v>94</v>
      </c>
      <c r="C6" s="19">
        <v>20</v>
      </c>
      <c r="D6" s="26" t="s">
        <v>42</v>
      </c>
      <c r="E6" s="19">
        <v>1</v>
      </c>
      <c r="F6" s="29">
        <f t="shared" si="0"/>
        <v>3760</v>
      </c>
      <c r="G6" s="29">
        <f t="shared" si="1"/>
        <v>189</v>
      </c>
      <c r="H6" s="26" t="s">
        <v>69</v>
      </c>
      <c r="I6" s="19">
        <f t="shared" si="2"/>
        <v>20</v>
      </c>
      <c r="J6" s="29">
        <f t="shared" si="3"/>
        <v>429</v>
      </c>
      <c r="K6" s="19" t="s">
        <v>80</v>
      </c>
      <c r="L6" s="19">
        <v>1</v>
      </c>
      <c r="M6" s="29">
        <f t="shared" si="4"/>
        <v>649</v>
      </c>
      <c r="N6" s="36">
        <v>1600</v>
      </c>
    </row>
    <row r="7" spans="1:14" x14ac:dyDescent="0.2">
      <c r="A7" s="19">
        <v>4</v>
      </c>
      <c r="B7" s="19" t="s">
        <v>97</v>
      </c>
      <c r="C7" s="19">
        <v>20</v>
      </c>
      <c r="D7" s="26" t="s">
        <v>42</v>
      </c>
      <c r="E7" s="19">
        <v>1</v>
      </c>
      <c r="F7" s="29">
        <f t="shared" si="0"/>
        <v>3760</v>
      </c>
      <c r="G7" s="29">
        <f t="shared" si="1"/>
        <v>189</v>
      </c>
      <c r="H7" s="26" t="s">
        <v>69</v>
      </c>
      <c r="I7" s="19">
        <f t="shared" si="2"/>
        <v>20</v>
      </c>
      <c r="J7" s="29">
        <f t="shared" si="3"/>
        <v>429</v>
      </c>
      <c r="K7" s="19" t="s">
        <v>80</v>
      </c>
      <c r="L7" s="19">
        <v>1</v>
      </c>
      <c r="M7" s="29">
        <f t="shared" si="4"/>
        <v>649</v>
      </c>
      <c r="N7" s="36">
        <v>1600</v>
      </c>
    </row>
    <row r="8" spans="1:14" x14ac:dyDescent="0.2">
      <c r="A8" s="19">
        <v>5</v>
      </c>
      <c r="B8" s="19" t="s">
        <v>98</v>
      </c>
      <c r="C8" s="19">
        <v>12</v>
      </c>
      <c r="D8" s="26" t="s">
        <v>42</v>
      </c>
      <c r="E8" s="19">
        <v>1</v>
      </c>
      <c r="F8" s="29">
        <f t="shared" si="0"/>
        <v>3760</v>
      </c>
      <c r="G8" s="29">
        <f t="shared" si="1"/>
        <v>189</v>
      </c>
      <c r="H8" s="26" t="s">
        <v>69</v>
      </c>
      <c r="I8" s="19">
        <f t="shared" si="2"/>
        <v>12</v>
      </c>
      <c r="J8" s="29">
        <f t="shared" si="3"/>
        <v>429</v>
      </c>
      <c r="K8" s="19" t="s">
        <v>80</v>
      </c>
      <c r="L8" s="19">
        <v>1</v>
      </c>
      <c r="M8" s="29">
        <f t="shared" si="4"/>
        <v>649</v>
      </c>
      <c r="N8" s="36">
        <v>1600</v>
      </c>
    </row>
    <row r="9" spans="1:14" x14ac:dyDescent="0.2">
      <c r="A9" s="19">
        <v>6</v>
      </c>
      <c r="B9" s="19" t="s">
        <v>99</v>
      </c>
      <c r="C9" s="19">
        <v>18</v>
      </c>
      <c r="D9" s="26" t="s">
        <v>42</v>
      </c>
      <c r="E9" s="19">
        <v>1</v>
      </c>
      <c r="F9" s="29">
        <f t="shared" si="0"/>
        <v>3760</v>
      </c>
      <c r="G9" s="29">
        <f t="shared" si="1"/>
        <v>189</v>
      </c>
      <c r="H9" s="26" t="s">
        <v>69</v>
      </c>
      <c r="I9" s="19">
        <f t="shared" si="2"/>
        <v>18</v>
      </c>
      <c r="J9" s="29">
        <f t="shared" si="3"/>
        <v>429</v>
      </c>
      <c r="K9" s="19" t="s">
        <v>80</v>
      </c>
      <c r="L9" s="19">
        <v>1</v>
      </c>
      <c r="M9" s="29">
        <f t="shared" si="4"/>
        <v>649</v>
      </c>
      <c r="N9" s="36">
        <v>1600</v>
      </c>
    </row>
    <row r="10" spans="1:14" x14ac:dyDescent="0.2">
      <c r="A10" s="19">
        <v>7</v>
      </c>
      <c r="B10" s="19" t="s">
        <v>56</v>
      </c>
      <c r="C10" s="19">
        <v>20</v>
      </c>
      <c r="D10" s="26" t="s">
        <v>42</v>
      </c>
      <c r="E10" s="19">
        <v>1</v>
      </c>
      <c r="F10" s="29">
        <f t="shared" si="0"/>
        <v>3760</v>
      </c>
      <c r="G10" s="29">
        <f t="shared" si="1"/>
        <v>189</v>
      </c>
      <c r="H10" s="26" t="s">
        <v>69</v>
      </c>
      <c r="I10" s="19">
        <f t="shared" si="2"/>
        <v>20</v>
      </c>
      <c r="J10" s="29">
        <f t="shared" si="3"/>
        <v>429</v>
      </c>
      <c r="K10" s="19" t="s">
        <v>80</v>
      </c>
      <c r="L10" s="19">
        <v>1</v>
      </c>
      <c r="M10" s="29">
        <f t="shared" si="4"/>
        <v>649</v>
      </c>
      <c r="N10" s="36">
        <v>1600</v>
      </c>
    </row>
    <row r="11" spans="1:14" x14ac:dyDescent="0.2">
      <c r="A11" s="19">
        <v>8</v>
      </c>
      <c r="B11" s="19" t="s">
        <v>103</v>
      </c>
      <c r="C11" s="19">
        <v>20</v>
      </c>
      <c r="D11" s="26" t="s">
        <v>42</v>
      </c>
      <c r="E11" s="19">
        <v>1</v>
      </c>
      <c r="F11" s="29">
        <f t="shared" si="0"/>
        <v>3760</v>
      </c>
      <c r="G11" s="29">
        <f t="shared" si="1"/>
        <v>189</v>
      </c>
      <c r="H11" s="26" t="s">
        <v>69</v>
      </c>
      <c r="I11" s="19">
        <f t="shared" si="2"/>
        <v>20</v>
      </c>
      <c r="J11" s="29">
        <f t="shared" si="3"/>
        <v>429</v>
      </c>
      <c r="K11" s="19" t="s">
        <v>80</v>
      </c>
      <c r="L11" s="19">
        <v>1</v>
      </c>
      <c r="M11" s="29">
        <f t="shared" si="4"/>
        <v>649</v>
      </c>
      <c r="N11" s="36">
        <v>1600</v>
      </c>
    </row>
    <row r="12" spans="1:14" x14ac:dyDescent="0.2">
      <c r="A12" s="19">
        <v>9</v>
      </c>
      <c r="B12" s="19" t="s">
        <v>60</v>
      </c>
      <c r="C12" s="19">
        <v>5</v>
      </c>
      <c r="D12" s="26" t="s">
        <v>42</v>
      </c>
      <c r="E12" s="19">
        <v>1</v>
      </c>
      <c r="F12" s="29">
        <f t="shared" si="0"/>
        <v>3760</v>
      </c>
      <c r="G12" s="29">
        <f t="shared" si="1"/>
        <v>189</v>
      </c>
      <c r="H12" s="26" t="s">
        <v>69</v>
      </c>
      <c r="I12" s="19">
        <f t="shared" si="2"/>
        <v>5</v>
      </c>
      <c r="J12" s="29">
        <f t="shared" si="3"/>
        <v>429</v>
      </c>
      <c r="K12" s="19" t="s">
        <v>80</v>
      </c>
      <c r="L12" s="19">
        <v>1</v>
      </c>
      <c r="M12" s="29">
        <f t="shared" si="4"/>
        <v>649</v>
      </c>
      <c r="N12" s="36">
        <v>1600</v>
      </c>
    </row>
    <row r="13" spans="1:14" x14ac:dyDescent="0.2">
      <c r="A13" s="19">
        <v>10</v>
      </c>
      <c r="B13" s="19" t="s">
        <v>78</v>
      </c>
      <c r="C13" s="19">
        <v>20</v>
      </c>
      <c r="D13" s="26" t="s">
        <v>42</v>
      </c>
      <c r="E13" s="19">
        <v>1</v>
      </c>
      <c r="F13" s="29">
        <f t="shared" si="0"/>
        <v>3760</v>
      </c>
      <c r="G13" s="29">
        <f t="shared" si="1"/>
        <v>189</v>
      </c>
      <c r="H13" s="26" t="s">
        <v>69</v>
      </c>
      <c r="I13" s="19">
        <f t="shared" si="2"/>
        <v>20</v>
      </c>
      <c r="J13" s="29">
        <f t="shared" si="3"/>
        <v>429</v>
      </c>
      <c r="K13" s="19" t="s">
        <v>80</v>
      </c>
      <c r="L13" s="19">
        <v>1</v>
      </c>
      <c r="M13" s="29">
        <f t="shared" si="4"/>
        <v>649</v>
      </c>
      <c r="N13" s="36">
        <v>1600</v>
      </c>
    </row>
    <row r="14" spans="1:14" x14ac:dyDescent="0.2">
      <c r="A14" s="19">
        <v>11</v>
      </c>
      <c r="B14" s="19" t="s">
        <v>108</v>
      </c>
      <c r="C14" s="19">
        <v>10</v>
      </c>
      <c r="D14" s="26" t="s">
        <v>42</v>
      </c>
      <c r="E14" s="19">
        <v>1</v>
      </c>
      <c r="F14" s="29">
        <f t="shared" si="0"/>
        <v>3760</v>
      </c>
      <c r="G14" s="29">
        <f t="shared" si="1"/>
        <v>189</v>
      </c>
      <c r="H14" s="26" t="s">
        <v>69</v>
      </c>
      <c r="I14" s="19">
        <f t="shared" si="2"/>
        <v>10</v>
      </c>
      <c r="J14" s="29">
        <f t="shared" si="3"/>
        <v>429</v>
      </c>
      <c r="K14" s="19" t="s">
        <v>80</v>
      </c>
      <c r="L14" s="19">
        <v>1</v>
      </c>
      <c r="M14" s="29">
        <f t="shared" si="4"/>
        <v>649</v>
      </c>
      <c r="N14" s="36">
        <v>1600</v>
      </c>
    </row>
    <row r="15" spans="1:14" x14ac:dyDescent="0.2">
      <c r="A15" s="45">
        <v>12</v>
      </c>
      <c r="B15" s="47" t="s">
        <v>114</v>
      </c>
      <c r="C15" s="47">
        <v>10</v>
      </c>
      <c r="D15" s="48" t="s">
        <v>42</v>
      </c>
      <c r="E15" s="47">
        <v>1</v>
      </c>
      <c r="F15" s="50">
        <f t="shared" si="0"/>
        <v>3760</v>
      </c>
      <c r="G15" s="50">
        <f t="shared" si="1"/>
        <v>189</v>
      </c>
      <c r="H15" s="48" t="s">
        <v>69</v>
      </c>
      <c r="I15" s="19">
        <f t="shared" si="2"/>
        <v>10</v>
      </c>
      <c r="J15" s="50">
        <f t="shared" si="3"/>
        <v>429</v>
      </c>
      <c r="K15" s="47" t="s">
        <v>80</v>
      </c>
      <c r="L15" s="47">
        <v>1</v>
      </c>
      <c r="M15" s="50">
        <f t="shared" si="4"/>
        <v>649</v>
      </c>
      <c r="N15" s="52">
        <v>1600</v>
      </c>
    </row>
    <row r="16" spans="1:14" x14ac:dyDescent="0.2">
      <c r="A16" s="53"/>
      <c r="B16" s="53"/>
      <c r="C16" s="53"/>
      <c r="D16" s="53"/>
      <c r="E16" s="55">
        <f t="shared" ref="E16:G16" si="5">SUM(E4:E15)</f>
        <v>12</v>
      </c>
      <c r="F16" s="57">
        <f t="shared" si="5"/>
        <v>45120</v>
      </c>
      <c r="G16" s="57">
        <f t="shared" si="5"/>
        <v>2268</v>
      </c>
      <c r="H16" s="53"/>
      <c r="I16" s="55">
        <f>SUM(I3:I15)</f>
        <v>193</v>
      </c>
      <c r="J16" s="57">
        <f>SUM(429*I16)</f>
        <v>82797</v>
      </c>
      <c r="K16" s="58"/>
      <c r="L16" s="58">
        <f>SUM(L4:L15)</f>
        <v>12</v>
      </c>
      <c r="M16" s="60">
        <f>SUM(M3:M15)</f>
        <v>7788</v>
      </c>
      <c r="N16" s="57">
        <f>SUM(N4:N15)</f>
        <v>19200</v>
      </c>
    </row>
    <row r="17" spans="1:14" x14ac:dyDescent="0.2">
      <c r="A17" s="61"/>
      <c r="B17" s="61"/>
      <c r="C17" s="61"/>
      <c r="D17" s="61"/>
      <c r="E17" s="61"/>
      <c r="F17" s="210">
        <f>SUM(F16+G16)</f>
        <v>47388</v>
      </c>
      <c r="G17" s="174"/>
      <c r="H17" s="61"/>
      <c r="I17" s="210">
        <f>J16</f>
        <v>82797</v>
      </c>
      <c r="J17" s="174"/>
      <c r="K17" s="61"/>
      <c r="L17" s="61"/>
      <c r="M17" s="210">
        <f>M16+N16</f>
        <v>26988</v>
      </c>
      <c r="N17" s="174"/>
    </row>
    <row r="19" spans="1:14" x14ac:dyDescent="0.2">
      <c r="L19" s="211" t="s">
        <v>147</v>
      </c>
      <c r="M19" s="174"/>
      <c r="N19" s="174"/>
    </row>
    <row r="20" spans="1:14" ht="15.75" customHeight="1" x14ac:dyDescent="0.2">
      <c r="L20" s="174"/>
      <c r="M20" s="174"/>
      <c r="N20" s="174"/>
    </row>
    <row r="21" spans="1:14" ht="15.75" customHeight="1" x14ac:dyDescent="0.2">
      <c r="L21" s="174"/>
      <c r="M21" s="174"/>
      <c r="N21" s="174"/>
    </row>
    <row r="22" spans="1:14" ht="15.75" customHeight="1" x14ac:dyDescent="0.2">
      <c r="L22" s="174"/>
      <c r="M22" s="174"/>
      <c r="N22" s="174"/>
    </row>
    <row r="23" spans="1:14" ht="15.75" customHeight="1" x14ac:dyDescent="0.2">
      <c r="L23" s="174"/>
      <c r="M23" s="174"/>
      <c r="N23" s="174"/>
    </row>
    <row r="24" spans="1:14" ht="15.75" customHeight="1" x14ac:dyDescent="0.2">
      <c r="L24" s="174"/>
      <c r="M24" s="174"/>
      <c r="N24" s="174"/>
    </row>
    <row r="25" spans="1:14" ht="15.75" customHeight="1" x14ac:dyDescent="0.2">
      <c r="L25" s="174"/>
      <c r="M25" s="174"/>
      <c r="N25" s="174"/>
    </row>
    <row r="26" spans="1:14" ht="15.75" customHeight="1" x14ac:dyDescent="0.2">
      <c r="L26" s="174"/>
      <c r="M26" s="174"/>
      <c r="N26" s="174"/>
    </row>
    <row r="27" spans="1:14" ht="15.75" customHeight="1" x14ac:dyDescent="0.2">
      <c r="L27" s="174"/>
      <c r="M27" s="174"/>
      <c r="N27" s="174"/>
    </row>
    <row r="28" spans="1:14" ht="15.75" customHeight="1" x14ac:dyDescent="0.2">
      <c r="L28" s="174"/>
      <c r="M28" s="174"/>
      <c r="N28" s="174"/>
    </row>
    <row r="29" spans="1:14" ht="15.75" customHeight="1" x14ac:dyDescent="0.2">
      <c r="L29" s="174"/>
      <c r="M29" s="174"/>
      <c r="N29" s="174"/>
    </row>
  </sheetData>
  <mergeCells count="10">
    <mergeCell ref="I17:J17"/>
    <mergeCell ref="M17:N17"/>
    <mergeCell ref="L19:N29"/>
    <mergeCell ref="A1:N1"/>
    <mergeCell ref="A2:B3"/>
    <mergeCell ref="C2:C3"/>
    <mergeCell ref="D2:G2"/>
    <mergeCell ref="H2:J2"/>
    <mergeCell ref="K2:N2"/>
    <mergeCell ref="F17:G17"/>
  </mergeCells>
  <hyperlinks>
    <hyperlink ref="D4" r:id="rId1" xr:uid="{00000000-0004-0000-0300-000000000000}"/>
    <hyperlink ref="H4" r:id="rId2" xr:uid="{00000000-0004-0000-0300-000001000000}"/>
    <hyperlink ref="D5" r:id="rId3" xr:uid="{00000000-0004-0000-0300-000002000000}"/>
    <hyperlink ref="H5" r:id="rId4" xr:uid="{00000000-0004-0000-0300-000003000000}"/>
    <hyperlink ref="D6" r:id="rId5" xr:uid="{00000000-0004-0000-0300-000004000000}"/>
    <hyperlink ref="H6" r:id="rId6" xr:uid="{00000000-0004-0000-0300-000005000000}"/>
    <hyperlink ref="D7" r:id="rId7" xr:uid="{00000000-0004-0000-0300-000006000000}"/>
    <hyperlink ref="H7" r:id="rId8" xr:uid="{00000000-0004-0000-0300-000007000000}"/>
    <hyperlink ref="D8" r:id="rId9" xr:uid="{00000000-0004-0000-0300-000008000000}"/>
    <hyperlink ref="H8" r:id="rId10" xr:uid="{00000000-0004-0000-0300-000009000000}"/>
    <hyperlink ref="D9" r:id="rId11" xr:uid="{00000000-0004-0000-0300-00000A000000}"/>
    <hyperlink ref="H9" r:id="rId12" xr:uid="{00000000-0004-0000-0300-00000B000000}"/>
    <hyperlink ref="D10" r:id="rId13" xr:uid="{00000000-0004-0000-0300-00000C000000}"/>
    <hyperlink ref="H10" r:id="rId14" xr:uid="{00000000-0004-0000-0300-00000D000000}"/>
    <hyperlink ref="D11" r:id="rId15" xr:uid="{00000000-0004-0000-0300-00000E000000}"/>
    <hyperlink ref="H11" r:id="rId16" xr:uid="{00000000-0004-0000-0300-00000F000000}"/>
    <hyperlink ref="D12" r:id="rId17" xr:uid="{00000000-0004-0000-0300-000010000000}"/>
    <hyperlink ref="H12" r:id="rId18" xr:uid="{00000000-0004-0000-0300-000011000000}"/>
    <hyperlink ref="D13" r:id="rId19" xr:uid="{00000000-0004-0000-0300-000012000000}"/>
    <hyperlink ref="H13" r:id="rId20" xr:uid="{00000000-0004-0000-0300-000013000000}"/>
    <hyperlink ref="D14" r:id="rId21" xr:uid="{00000000-0004-0000-0300-000014000000}"/>
    <hyperlink ref="H14" r:id="rId22" xr:uid="{00000000-0004-0000-0300-000015000000}"/>
    <hyperlink ref="D15" r:id="rId23" xr:uid="{00000000-0004-0000-0300-000016000000}"/>
    <hyperlink ref="H15" r:id="rId24" xr:uid="{00000000-0004-0000-0300-000017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37.28515625" customWidth="1"/>
    <col min="4" max="4" width="25.28515625" customWidth="1"/>
  </cols>
  <sheetData>
    <row r="1" spans="1:6" x14ac:dyDescent="0.2">
      <c r="A1" s="4" t="s">
        <v>12</v>
      </c>
      <c r="B1" s="81" t="s">
        <v>59</v>
      </c>
      <c r="C1" s="81" t="s">
        <v>57</v>
      </c>
      <c r="D1" s="81" t="s">
        <v>235</v>
      </c>
    </row>
    <row r="2" spans="1:6" x14ac:dyDescent="0.2">
      <c r="A2" s="25" t="s">
        <v>73</v>
      </c>
    </row>
    <row r="3" spans="1:6" x14ac:dyDescent="0.2">
      <c r="A3" s="25" t="s">
        <v>85</v>
      </c>
    </row>
    <row r="4" spans="1:6" x14ac:dyDescent="0.2">
      <c r="A4" s="25" t="s">
        <v>100</v>
      </c>
      <c r="B4" s="3">
        <v>15</v>
      </c>
      <c r="C4" s="3">
        <v>15</v>
      </c>
      <c r="D4" s="3">
        <v>1</v>
      </c>
      <c r="E4" s="25" t="s">
        <v>87</v>
      </c>
      <c r="F4" s="3">
        <v>15</v>
      </c>
    </row>
    <row r="5" spans="1:6" x14ac:dyDescent="0.2">
      <c r="A5" s="25" t="s">
        <v>106</v>
      </c>
      <c r="B5" s="3">
        <v>10</v>
      </c>
      <c r="C5" s="3">
        <v>10</v>
      </c>
    </row>
    <row r="6" spans="1:6" x14ac:dyDescent="0.2">
      <c r="A6" s="44" t="s">
        <v>125</v>
      </c>
      <c r="B6" s="3">
        <v>20</v>
      </c>
      <c r="C6" s="3">
        <v>20</v>
      </c>
      <c r="D6" s="3">
        <v>1</v>
      </c>
      <c r="E6" s="44" t="s">
        <v>111</v>
      </c>
      <c r="F6" s="3">
        <v>20</v>
      </c>
    </row>
    <row r="7" spans="1:6" x14ac:dyDescent="0.2">
      <c r="A7" s="44" t="s">
        <v>130</v>
      </c>
      <c r="B7" s="3">
        <v>20</v>
      </c>
      <c r="C7" s="3">
        <v>20</v>
      </c>
    </row>
    <row r="8" spans="1:6" x14ac:dyDescent="0.2">
      <c r="A8" s="44" t="s">
        <v>142</v>
      </c>
      <c r="B8" s="3">
        <v>20</v>
      </c>
      <c r="C8" s="3">
        <v>20</v>
      </c>
    </row>
    <row r="9" spans="1:6" x14ac:dyDescent="0.2">
      <c r="A9" s="63" t="s">
        <v>129</v>
      </c>
    </row>
    <row r="10" spans="1:6" x14ac:dyDescent="0.2">
      <c r="A10" s="63" t="s">
        <v>129</v>
      </c>
    </row>
    <row r="11" spans="1:6" x14ac:dyDescent="0.2">
      <c r="A11" s="69" t="s">
        <v>176</v>
      </c>
      <c r="B11" s="3">
        <v>12</v>
      </c>
      <c r="C11" s="3">
        <v>12</v>
      </c>
      <c r="D11" s="3">
        <v>1</v>
      </c>
      <c r="E11" s="69" t="s">
        <v>167</v>
      </c>
      <c r="F11" s="69">
        <v>12</v>
      </c>
    </row>
    <row r="12" spans="1:6" x14ac:dyDescent="0.2">
      <c r="A12" s="25" t="s">
        <v>43</v>
      </c>
      <c r="C12" s="3">
        <v>10</v>
      </c>
    </row>
    <row r="13" spans="1:6" x14ac:dyDescent="0.2">
      <c r="A13" s="74" t="s">
        <v>188</v>
      </c>
    </row>
    <row r="14" spans="1:6" x14ac:dyDescent="0.2">
      <c r="A14" s="63" t="s">
        <v>207</v>
      </c>
      <c r="B14" s="3">
        <v>18</v>
      </c>
      <c r="C14" s="3">
        <v>18</v>
      </c>
      <c r="D14" s="3">
        <v>1</v>
      </c>
      <c r="E14" s="83" t="s">
        <v>199</v>
      </c>
      <c r="F14" s="83">
        <v>18</v>
      </c>
    </row>
    <row r="15" spans="1:6" x14ac:dyDescent="0.2">
      <c r="A15" s="63" t="s">
        <v>125</v>
      </c>
      <c r="B15" s="3">
        <v>20</v>
      </c>
      <c r="C15" s="3">
        <v>20</v>
      </c>
      <c r="D15" s="3">
        <v>1</v>
      </c>
      <c r="E15" s="83" t="s">
        <v>208</v>
      </c>
      <c r="F15" s="83">
        <v>20</v>
      </c>
    </row>
    <row r="16" spans="1:6" x14ac:dyDescent="0.2">
      <c r="A16" s="63" t="s">
        <v>125</v>
      </c>
      <c r="B16" s="3">
        <v>20</v>
      </c>
      <c r="C16" s="3">
        <v>20</v>
      </c>
      <c r="D16" s="3">
        <v>1</v>
      </c>
      <c r="E16" s="83" t="s">
        <v>213</v>
      </c>
      <c r="F16" s="83">
        <v>20</v>
      </c>
    </row>
    <row r="17" spans="1:6" x14ac:dyDescent="0.2">
      <c r="A17" s="79" t="s">
        <v>225</v>
      </c>
      <c r="B17" s="3">
        <v>15</v>
      </c>
      <c r="C17" s="3">
        <v>15</v>
      </c>
      <c r="D17" s="3">
        <v>1</v>
      </c>
      <c r="E17" s="84" t="s">
        <v>219</v>
      </c>
      <c r="F17" s="84">
        <v>20</v>
      </c>
    </row>
    <row r="18" spans="1:6" x14ac:dyDescent="0.2">
      <c r="A18" s="79" t="s">
        <v>230</v>
      </c>
      <c r="B18" s="3">
        <v>10</v>
      </c>
      <c r="C18" s="3">
        <v>10</v>
      </c>
    </row>
    <row r="19" spans="1:6" x14ac:dyDescent="0.2">
      <c r="A19" s="25" t="s">
        <v>68</v>
      </c>
    </row>
    <row r="20" spans="1:6" x14ac:dyDescent="0.2">
      <c r="A20" s="25" t="s">
        <v>81</v>
      </c>
      <c r="C20" s="3">
        <v>20</v>
      </c>
      <c r="D20" s="3">
        <v>1</v>
      </c>
      <c r="E20" s="87" t="s">
        <v>70</v>
      </c>
      <c r="F20" s="87">
        <v>20</v>
      </c>
    </row>
    <row r="21" spans="1:6" x14ac:dyDescent="0.2">
      <c r="A21" s="85" t="s">
        <v>104</v>
      </c>
      <c r="B21" s="3">
        <v>8</v>
      </c>
      <c r="C21" s="3">
        <v>8</v>
      </c>
    </row>
    <row r="22" spans="1:6" x14ac:dyDescent="0.2">
      <c r="A22" s="85" t="s">
        <v>121</v>
      </c>
      <c r="B22" s="3">
        <v>4</v>
      </c>
      <c r="C22" s="3">
        <v>4</v>
      </c>
    </row>
    <row r="23" spans="1:6" x14ac:dyDescent="0.2">
      <c r="A23" s="85" t="s">
        <v>133</v>
      </c>
      <c r="B23" s="3">
        <v>18</v>
      </c>
      <c r="C23" s="3">
        <v>18</v>
      </c>
    </row>
    <row r="24" spans="1:6" x14ac:dyDescent="0.2">
      <c r="A24" s="85" t="s">
        <v>141</v>
      </c>
    </row>
    <row r="25" spans="1:6" x14ac:dyDescent="0.2">
      <c r="A25" s="85" t="s">
        <v>155</v>
      </c>
      <c r="B25" s="3">
        <v>4</v>
      </c>
      <c r="C25" s="3">
        <v>2</v>
      </c>
    </row>
    <row r="26" spans="1:6" x14ac:dyDescent="0.2">
      <c r="A26" s="85" t="s">
        <v>160</v>
      </c>
      <c r="B26" s="3">
        <v>2</v>
      </c>
      <c r="C26" s="3">
        <v>2</v>
      </c>
    </row>
    <row r="27" spans="1:6" x14ac:dyDescent="0.2">
      <c r="A27" s="89" t="s">
        <v>242</v>
      </c>
      <c r="D27" s="3">
        <v>1</v>
      </c>
      <c r="E27" s="90" t="s">
        <v>237</v>
      </c>
      <c r="F27" s="90">
        <v>10</v>
      </c>
    </row>
    <row r="28" spans="1:6" x14ac:dyDescent="0.2">
      <c r="A28" s="89" t="s">
        <v>245</v>
      </c>
      <c r="C28" s="3">
        <v>18</v>
      </c>
    </row>
    <row r="29" spans="1:6" x14ac:dyDescent="0.2">
      <c r="A29" s="89" t="s">
        <v>228</v>
      </c>
    </row>
    <row r="30" spans="1:6" x14ac:dyDescent="0.2">
      <c r="A30" s="89" t="s">
        <v>234</v>
      </c>
    </row>
    <row r="31" spans="1:6" x14ac:dyDescent="0.2">
      <c r="A31" s="91" t="s">
        <v>246</v>
      </c>
      <c r="C31" s="3">
        <v>20</v>
      </c>
    </row>
    <row r="32" spans="1:6" x14ac:dyDescent="0.2">
      <c r="A32" s="91" t="s">
        <v>129</v>
      </c>
    </row>
    <row r="33" spans="1:6" x14ac:dyDescent="0.2">
      <c r="A33" s="91" t="s">
        <v>125</v>
      </c>
      <c r="B33" s="3">
        <v>20</v>
      </c>
      <c r="C33" s="3">
        <v>20</v>
      </c>
      <c r="D33" s="3">
        <v>1</v>
      </c>
      <c r="E33" s="92" t="s">
        <v>247</v>
      </c>
      <c r="F33" s="92">
        <v>20</v>
      </c>
    </row>
    <row r="34" spans="1:6" x14ac:dyDescent="0.2">
      <c r="A34" s="91" t="s">
        <v>88</v>
      </c>
    </row>
    <row r="35" spans="1:6" x14ac:dyDescent="0.2">
      <c r="A35" s="91" t="s">
        <v>180</v>
      </c>
      <c r="B35" s="3">
        <v>10</v>
      </c>
      <c r="C35" s="3">
        <v>10</v>
      </c>
      <c r="D35" s="3">
        <v>1</v>
      </c>
      <c r="E35" s="92" t="s">
        <v>171</v>
      </c>
      <c r="F35" s="92">
        <v>10</v>
      </c>
    </row>
    <row r="36" spans="1:6" x14ac:dyDescent="0.2">
      <c r="A36" s="91" t="s">
        <v>189</v>
      </c>
      <c r="D36" s="3">
        <v>1</v>
      </c>
      <c r="E36" s="92" t="s">
        <v>186</v>
      </c>
      <c r="F36" s="92">
        <v>6</v>
      </c>
    </row>
    <row r="37" spans="1:6" x14ac:dyDescent="0.2">
      <c r="A37" s="91" t="s">
        <v>248</v>
      </c>
      <c r="D37" s="3">
        <v>1</v>
      </c>
      <c r="E37" s="92" t="s">
        <v>250</v>
      </c>
      <c r="F37" s="92">
        <v>20</v>
      </c>
    </row>
    <row r="38" spans="1:6" x14ac:dyDescent="0.2">
      <c r="A38" s="91" t="s">
        <v>251</v>
      </c>
    </row>
    <row r="39" spans="1:6" x14ac:dyDescent="0.2">
      <c r="A39" s="91" t="s">
        <v>170</v>
      </c>
    </row>
    <row r="40" spans="1:6" x14ac:dyDescent="0.2">
      <c r="A40" s="91" t="s">
        <v>252</v>
      </c>
      <c r="B40" s="3">
        <v>2</v>
      </c>
      <c r="C40" s="3">
        <v>2</v>
      </c>
      <c r="D40" s="3">
        <v>1</v>
      </c>
      <c r="E40" s="92" t="s">
        <v>253</v>
      </c>
      <c r="F40" s="92">
        <v>2</v>
      </c>
    </row>
    <row r="41" spans="1:6" x14ac:dyDescent="0.2">
      <c r="A41" s="91" t="s">
        <v>206</v>
      </c>
      <c r="B41" s="3">
        <v>1</v>
      </c>
      <c r="C41" s="3">
        <v>4</v>
      </c>
    </row>
    <row r="42" spans="1:6" x14ac:dyDescent="0.2">
      <c r="A42" s="91" t="s">
        <v>85</v>
      </c>
    </row>
    <row r="43" spans="1:6" x14ac:dyDescent="0.2">
      <c r="A43" s="91" t="s">
        <v>254</v>
      </c>
      <c r="B43" s="3">
        <v>7</v>
      </c>
      <c r="C43" s="3">
        <v>16</v>
      </c>
    </row>
    <row r="44" spans="1:6" x14ac:dyDescent="0.2">
      <c r="A44" s="91" t="s">
        <v>255</v>
      </c>
      <c r="B44" s="3">
        <v>2</v>
      </c>
      <c r="C44" s="3">
        <v>2</v>
      </c>
    </row>
    <row r="45" spans="1:6" x14ac:dyDescent="0.2">
      <c r="A45" s="91" t="s">
        <v>256</v>
      </c>
      <c r="B45" s="3">
        <v>20</v>
      </c>
      <c r="C45" s="3">
        <v>20</v>
      </c>
      <c r="D45" s="3">
        <v>1</v>
      </c>
      <c r="E45" s="92" t="s">
        <v>257</v>
      </c>
      <c r="F45" s="92">
        <v>20</v>
      </c>
    </row>
    <row r="46" spans="1:6" x14ac:dyDescent="0.2">
      <c r="B46" s="3">
        <f t="shared" ref="B46:D46" si="0">SUM(B2:B45)</f>
        <v>278</v>
      </c>
      <c r="C46" s="3">
        <f t="shared" si="0"/>
        <v>356</v>
      </c>
      <c r="D46" s="3">
        <f t="shared" si="0"/>
        <v>15</v>
      </c>
      <c r="F46" s="3">
        <f>SUM(F2:F45)</f>
        <v>233</v>
      </c>
    </row>
  </sheetData>
  <conditionalFormatting sqref="A2:A45">
    <cfRule type="expression" dxfId="20" priority="1">
      <formula>#REF!="Primera Fase"</formula>
    </cfRule>
    <cfRule type="expression" dxfId="19" priority="2">
      <formula>#REF!="Segunda Fase"</formula>
    </cfRule>
    <cfRule type="expression" dxfId="18" priority="3">
      <formula>#REF!="Conflicto de Turno"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974"/>
  <sheetViews>
    <sheetView workbookViewId="0"/>
  </sheetViews>
  <sheetFormatPr baseColWidth="10" defaultColWidth="12.5703125" defaultRowHeight="15.75" customHeight="1" x14ac:dyDescent="0.2"/>
  <cols>
    <col min="1" max="1" width="20.7109375" customWidth="1"/>
    <col min="2" max="2" width="17.85546875" customWidth="1"/>
    <col min="3" max="25" width="21" customWidth="1"/>
  </cols>
  <sheetData>
    <row r="1" spans="1:2" ht="15.75" customHeight="1" x14ac:dyDescent="0.25">
      <c r="A1" s="101" t="s">
        <v>284</v>
      </c>
      <c r="B1" s="101" t="s">
        <v>285</v>
      </c>
    </row>
    <row r="2" spans="1:2" x14ac:dyDescent="0.2">
      <c r="A2" s="92" t="s">
        <v>87</v>
      </c>
      <c r="B2" s="91">
        <v>15</v>
      </c>
    </row>
    <row r="3" spans="1:2" x14ac:dyDescent="0.2">
      <c r="A3" s="92" t="s">
        <v>111</v>
      </c>
      <c r="B3" s="91">
        <v>20</v>
      </c>
    </row>
    <row r="4" spans="1:2" x14ac:dyDescent="0.2">
      <c r="A4" s="92" t="s">
        <v>167</v>
      </c>
      <c r="B4" s="91">
        <v>12</v>
      </c>
    </row>
    <row r="5" spans="1:2" x14ac:dyDescent="0.2">
      <c r="A5" s="92" t="s">
        <v>199</v>
      </c>
      <c r="B5" s="91">
        <v>18</v>
      </c>
    </row>
    <row r="6" spans="1:2" x14ac:dyDescent="0.2">
      <c r="A6" s="92" t="s">
        <v>208</v>
      </c>
      <c r="B6" s="91">
        <v>20</v>
      </c>
    </row>
    <row r="7" spans="1:2" x14ac:dyDescent="0.2">
      <c r="A7" s="92" t="s">
        <v>213</v>
      </c>
      <c r="B7" s="91">
        <v>20</v>
      </c>
    </row>
    <row r="8" spans="1:2" x14ac:dyDescent="0.2">
      <c r="A8" s="92" t="s">
        <v>219</v>
      </c>
      <c r="B8" s="91">
        <v>20</v>
      </c>
    </row>
    <row r="9" spans="1:2" x14ac:dyDescent="0.2">
      <c r="A9" s="92" t="s">
        <v>70</v>
      </c>
      <c r="B9" s="91">
        <v>20</v>
      </c>
    </row>
    <row r="10" spans="1:2" x14ac:dyDescent="0.2">
      <c r="A10" s="92" t="s">
        <v>237</v>
      </c>
      <c r="B10" s="91">
        <v>10</v>
      </c>
    </row>
    <row r="11" spans="1:2" x14ac:dyDescent="0.2">
      <c r="A11" s="92" t="s">
        <v>247</v>
      </c>
      <c r="B11" s="91">
        <v>20</v>
      </c>
    </row>
    <row r="12" spans="1:2" x14ac:dyDescent="0.2">
      <c r="A12" s="92" t="s">
        <v>171</v>
      </c>
      <c r="B12" s="91">
        <v>10</v>
      </c>
    </row>
    <row r="13" spans="1:2" x14ac:dyDescent="0.2">
      <c r="A13" s="92" t="s">
        <v>186</v>
      </c>
      <c r="B13" s="91">
        <v>6</v>
      </c>
    </row>
    <row r="14" spans="1:2" x14ac:dyDescent="0.2">
      <c r="A14" s="92" t="s">
        <v>250</v>
      </c>
      <c r="B14" s="91">
        <v>20</v>
      </c>
    </row>
    <row r="15" spans="1:2" x14ac:dyDescent="0.2">
      <c r="A15" s="92" t="s">
        <v>253</v>
      </c>
      <c r="B15" s="91">
        <v>2</v>
      </c>
    </row>
    <row r="16" spans="1:2" x14ac:dyDescent="0.2">
      <c r="A16" s="92" t="s">
        <v>257</v>
      </c>
      <c r="B16" s="91">
        <v>20</v>
      </c>
    </row>
    <row r="17" spans="2:2" x14ac:dyDescent="0.2">
      <c r="B17" s="103">
        <f>SUM(B2:B16)</f>
        <v>233</v>
      </c>
    </row>
    <row r="18" spans="2:2" x14ac:dyDescent="0.2">
      <c r="B18" s="104"/>
    </row>
    <row r="19" spans="2:2" x14ac:dyDescent="0.2">
      <c r="B19" s="104"/>
    </row>
    <row r="20" spans="2:2" x14ac:dyDescent="0.2">
      <c r="B20" s="104"/>
    </row>
    <row r="21" spans="2:2" x14ac:dyDescent="0.2">
      <c r="B21" s="104"/>
    </row>
    <row r="22" spans="2:2" x14ac:dyDescent="0.2">
      <c r="B22" s="104"/>
    </row>
    <row r="23" spans="2:2" x14ac:dyDescent="0.2">
      <c r="B23" s="104"/>
    </row>
    <row r="24" spans="2:2" x14ac:dyDescent="0.2">
      <c r="B24" s="104"/>
    </row>
    <row r="25" spans="2:2" x14ac:dyDescent="0.2">
      <c r="B25" s="104"/>
    </row>
    <row r="26" spans="2:2" x14ac:dyDescent="0.2">
      <c r="B26" s="104"/>
    </row>
    <row r="27" spans="2:2" x14ac:dyDescent="0.2">
      <c r="B27" s="104"/>
    </row>
    <row r="28" spans="2:2" x14ac:dyDescent="0.2">
      <c r="B28" s="104"/>
    </row>
    <row r="29" spans="2:2" x14ac:dyDescent="0.2">
      <c r="B29" s="104"/>
    </row>
    <row r="30" spans="2:2" x14ac:dyDescent="0.2">
      <c r="B30" s="104"/>
    </row>
    <row r="31" spans="2:2" x14ac:dyDescent="0.2">
      <c r="B31" s="104"/>
    </row>
    <row r="32" spans="2:2" x14ac:dyDescent="0.2">
      <c r="B32" s="104"/>
    </row>
    <row r="33" spans="2:2" x14ac:dyDescent="0.2">
      <c r="B33" s="104"/>
    </row>
    <row r="34" spans="2:2" x14ac:dyDescent="0.2">
      <c r="B34" s="104"/>
    </row>
    <row r="35" spans="2:2" ht="12.75" x14ac:dyDescent="0.2">
      <c r="B35" s="104"/>
    </row>
    <row r="36" spans="2:2" ht="12.75" x14ac:dyDescent="0.2">
      <c r="B36" s="104"/>
    </row>
    <row r="37" spans="2:2" ht="12.75" x14ac:dyDescent="0.2">
      <c r="B37" s="104"/>
    </row>
    <row r="38" spans="2:2" ht="12.75" x14ac:dyDescent="0.2">
      <c r="B38" s="104"/>
    </row>
    <row r="39" spans="2:2" ht="12.75" x14ac:dyDescent="0.2">
      <c r="B39" s="104"/>
    </row>
    <row r="40" spans="2:2" ht="12.75" x14ac:dyDescent="0.2">
      <c r="B40" s="104"/>
    </row>
    <row r="41" spans="2:2" ht="12.75" x14ac:dyDescent="0.2">
      <c r="B41" s="104"/>
    </row>
    <row r="42" spans="2:2" ht="12.75" x14ac:dyDescent="0.2">
      <c r="B42" s="104"/>
    </row>
    <row r="43" spans="2:2" ht="12.75" x14ac:dyDescent="0.2">
      <c r="B43" s="104"/>
    </row>
    <row r="44" spans="2:2" ht="12.75" x14ac:dyDescent="0.2">
      <c r="B44" s="104"/>
    </row>
    <row r="45" spans="2:2" ht="12.75" x14ac:dyDescent="0.2">
      <c r="B45" s="104"/>
    </row>
    <row r="46" spans="2:2" ht="12.75" x14ac:dyDescent="0.2">
      <c r="B46" s="104"/>
    </row>
    <row r="47" spans="2:2" ht="12.75" x14ac:dyDescent="0.2">
      <c r="B47" s="104"/>
    </row>
    <row r="48" spans="2:2" ht="12.75" x14ac:dyDescent="0.2">
      <c r="B48" s="104"/>
    </row>
    <row r="49" spans="2:2" ht="12.75" x14ac:dyDescent="0.2">
      <c r="B49" s="104"/>
    </row>
    <row r="50" spans="2:2" ht="12.75" x14ac:dyDescent="0.2">
      <c r="B50" s="104"/>
    </row>
    <row r="51" spans="2:2" ht="12.75" x14ac:dyDescent="0.2">
      <c r="B51" s="104"/>
    </row>
    <row r="52" spans="2:2" ht="12.75" x14ac:dyDescent="0.2">
      <c r="B52" s="104"/>
    </row>
    <row r="53" spans="2:2" ht="12.75" x14ac:dyDescent="0.2">
      <c r="B53" s="104"/>
    </row>
    <row r="54" spans="2:2" ht="12.75" x14ac:dyDescent="0.2">
      <c r="B54" s="104"/>
    </row>
    <row r="55" spans="2:2" ht="12.75" x14ac:dyDescent="0.2">
      <c r="B55" s="104"/>
    </row>
    <row r="56" spans="2:2" ht="12.75" x14ac:dyDescent="0.2">
      <c r="B56" s="104"/>
    </row>
    <row r="57" spans="2:2" ht="12.75" x14ac:dyDescent="0.2">
      <c r="B57" s="104"/>
    </row>
    <row r="58" spans="2:2" ht="12.75" x14ac:dyDescent="0.2">
      <c r="B58" s="104"/>
    </row>
    <row r="59" spans="2:2" ht="12.75" x14ac:dyDescent="0.2">
      <c r="B59" s="104"/>
    </row>
    <row r="60" spans="2:2" ht="12.75" x14ac:dyDescent="0.2">
      <c r="B60" s="104"/>
    </row>
    <row r="61" spans="2:2" ht="12.75" x14ac:dyDescent="0.2">
      <c r="B61" s="104"/>
    </row>
    <row r="62" spans="2:2" ht="12.75" x14ac:dyDescent="0.2">
      <c r="B62" s="104"/>
    </row>
    <row r="63" spans="2:2" ht="12.75" x14ac:dyDescent="0.2">
      <c r="B63" s="104"/>
    </row>
    <row r="64" spans="2:2" ht="12.75" x14ac:dyDescent="0.2">
      <c r="B64" s="104"/>
    </row>
    <row r="65" spans="2:2" ht="12.75" x14ac:dyDescent="0.2">
      <c r="B65" s="104"/>
    </row>
    <row r="66" spans="2:2" ht="12.75" x14ac:dyDescent="0.2">
      <c r="B66" s="104"/>
    </row>
    <row r="67" spans="2:2" ht="12.75" x14ac:dyDescent="0.2">
      <c r="B67" s="104"/>
    </row>
    <row r="68" spans="2:2" ht="12.75" x14ac:dyDescent="0.2">
      <c r="B68" s="104"/>
    </row>
    <row r="69" spans="2:2" ht="12.75" x14ac:dyDescent="0.2">
      <c r="B69" s="104"/>
    </row>
    <row r="70" spans="2:2" ht="12.75" x14ac:dyDescent="0.2">
      <c r="B70" s="104"/>
    </row>
    <row r="71" spans="2:2" ht="12.75" x14ac:dyDescent="0.2">
      <c r="B71" s="104"/>
    </row>
    <row r="72" spans="2:2" ht="12.75" x14ac:dyDescent="0.2">
      <c r="B72" s="104"/>
    </row>
    <row r="73" spans="2:2" ht="12.75" x14ac:dyDescent="0.2">
      <c r="B73" s="104"/>
    </row>
    <row r="74" spans="2:2" ht="12.75" x14ac:dyDescent="0.2">
      <c r="B74" s="104"/>
    </row>
    <row r="75" spans="2:2" ht="12.75" x14ac:dyDescent="0.2">
      <c r="B75" s="104"/>
    </row>
    <row r="76" spans="2:2" ht="12.75" x14ac:dyDescent="0.2">
      <c r="B76" s="104"/>
    </row>
    <row r="77" spans="2:2" ht="12.75" x14ac:dyDescent="0.2">
      <c r="B77" s="104"/>
    </row>
    <row r="78" spans="2:2" ht="12.75" x14ac:dyDescent="0.2">
      <c r="B78" s="104"/>
    </row>
    <row r="79" spans="2:2" ht="12.75" x14ac:dyDescent="0.2">
      <c r="B79" s="104"/>
    </row>
    <row r="80" spans="2:2" ht="12.75" x14ac:dyDescent="0.2">
      <c r="B80" s="104"/>
    </row>
    <row r="81" spans="2:2" ht="12.75" x14ac:dyDescent="0.2">
      <c r="B81" s="104"/>
    </row>
    <row r="82" spans="2:2" ht="12.75" x14ac:dyDescent="0.2">
      <c r="B82" s="104"/>
    </row>
    <row r="83" spans="2:2" ht="12.75" x14ac:dyDescent="0.2">
      <c r="B83" s="104"/>
    </row>
    <row r="84" spans="2:2" ht="12.75" x14ac:dyDescent="0.2">
      <c r="B84" s="104"/>
    </row>
    <row r="85" spans="2:2" ht="12.75" x14ac:dyDescent="0.2">
      <c r="B85" s="104"/>
    </row>
    <row r="86" spans="2:2" ht="12.75" x14ac:dyDescent="0.2">
      <c r="B86" s="104"/>
    </row>
    <row r="87" spans="2:2" ht="12.75" x14ac:dyDescent="0.2">
      <c r="B87" s="104"/>
    </row>
    <row r="88" spans="2:2" ht="12.75" x14ac:dyDescent="0.2">
      <c r="B88" s="104"/>
    </row>
    <row r="89" spans="2:2" ht="12.75" x14ac:dyDescent="0.2">
      <c r="B89" s="104"/>
    </row>
    <row r="90" spans="2:2" ht="12.75" x14ac:dyDescent="0.2">
      <c r="B90" s="104"/>
    </row>
    <row r="91" spans="2:2" ht="12.75" x14ac:dyDescent="0.2">
      <c r="B91" s="104"/>
    </row>
    <row r="92" spans="2:2" ht="12.75" x14ac:dyDescent="0.2">
      <c r="B92" s="104"/>
    </row>
    <row r="93" spans="2:2" ht="12.75" x14ac:dyDescent="0.2">
      <c r="B93" s="104"/>
    </row>
    <row r="94" spans="2:2" ht="12.75" x14ac:dyDescent="0.2">
      <c r="B94" s="104"/>
    </row>
    <row r="95" spans="2:2" ht="12.75" x14ac:dyDescent="0.2">
      <c r="B95" s="104"/>
    </row>
    <row r="96" spans="2:2" ht="12.75" x14ac:dyDescent="0.2">
      <c r="B96" s="104"/>
    </row>
    <row r="97" spans="2:2" ht="12.75" x14ac:dyDescent="0.2">
      <c r="B97" s="104"/>
    </row>
    <row r="98" spans="2:2" ht="12.75" x14ac:dyDescent="0.2">
      <c r="B98" s="104"/>
    </row>
    <row r="99" spans="2:2" ht="12.75" x14ac:dyDescent="0.2">
      <c r="B99" s="104"/>
    </row>
    <row r="100" spans="2:2" ht="12.75" x14ac:dyDescent="0.2">
      <c r="B100" s="104"/>
    </row>
    <row r="101" spans="2:2" ht="12.75" x14ac:dyDescent="0.2">
      <c r="B101" s="104"/>
    </row>
    <row r="102" spans="2:2" ht="12.75" x14ac:dyDescent="0.2">
      <c r="B102" s="104"/>
    </row>
    <row r="103" spans="2:2" ht="12.75" x14ac:dyDescent="0.2">
      <c r="B103" s="104"/>
    </row>
    <row r="104" spans="2:2" ht="12.75" x14ac:dyDescent="0.2">
      <c r="B104" s="104"/>
    </row>
    <row r="105" spans="2:2" ht="12.75" x14ac:dyDescent="0.2">
      <c r="B105" s="104"/>
    </row>
    <row r="106" spans="2:2" ht="12.75" x14ac:dyDescent="0.2">
      <c r="B106" s="104"/>
    </row>
    <row r="107" spans="2:2" ht="12.75" x14ac:dyDescent="0.2">
      <c r="B107" s="104"/>
    </row>
    <row r="108" spans="2:2" ht="12.75" x14ac:dyDescent="0.2">
      <c r="B108" s="104"/>
    </row>
    <row r="109" spans="2:2" ht="12.75" x14ac:dyDescent="0.2">
      <c r="B109" s="104"/>
    </row>
    <row r="110" spans="2:2" ht="12.75" x14ac:dyDescent="0.2">
      <c r="B110" s="104"/>
    </row>
    <row r="111" spans="2:2" ht="12.75" x14ac:dyDescent="0.2">
      <c r="B111" s="104"/>
    </row>
    <row r="112" spans="2:2" ht="12.75" x14ac:dyDescent="0.2">
      <c r="B112" s="104"/>
    </row>
    <row r="113" spans="2:2" ht="12.75" x14ac:dyDescent="0.2">
      <c r="B113" s="104"/>
    </row>
    <row r="114" spans="2:2" ht="12.75" x14ac:dyDescent="0.2">
      <c r="B114" s="104"/>
    </row>
    <row r="115" spans="2:2" ht="12.75" x14ac:dyDescent="0.2">
      <c r="B115" s="104"/>
    </row>
    <row r="116" spans="2:2" ht="12.75" x14ac:dyDescent="0.2">
      <c r="B116" s="104"/>
    </row>
    <row r="117" spans="2:2" ht="12.75" x14ac:dyDescent="0.2">
      <c r="B117" s="104"/>
    </row>
    <row r="118" spans="2:2" ht="12.75" x14ac:dyDescent="0.2">
      <c r="B118" s="104"/>
    </row>
    <row r="119" spans="2:2" ht="12.75" x14ac:dyDescent="0.2">
      <c r="B119" s="104"/>
    </row>
    <row r="120" spans="2:2" ht="12.75" x14ac:dyDescent="0.2">
      <c r="B120" s="104"/>
    </row>
    <row r="121" spans="2:2" ht="12.75" x14ac:dyDescent="0.2">
      <c r="B121" s="104"/>
    </row>
    <row r="122" spans="2:2" ht="12.75" x14ac:dyDescent="0.2">
      <c r="B122" s="104"/>
    </row>
    <row r="123" spans="2:2" ht="12.75" x14ac:dyDescent="0.2">
      <c r="B123" s="104"/>
    </row>
    <row r="124" spans="2:2" ht="12.75" x14ac:dyDescent="0.2">
      <c r="B124" s="104"/>
    </row>
    <row r="125" spans="2:2" ht="12.75" x14ac:dyDescent="0.2">
      <c r="B125" s="104"/>
    </row>
    <row r="126" spans="2:2" ht="12.75" x14ac:dyDescent="0.2">
      <c r="B126" s="104"/>
    </row>
    <row r="127" spans="2:2" ht="12.75" x14ac:dyDescent="0.2">
      <c r="B127" s="104"/>
    </row>
    <row r="128" spans="2:2" ht="12.75" x14ac:dyDescent="0.2">
      <c r="B128" s="104"/>
    </row>
    <row r="129" spans="2:2" ht="12.75" x14ac:dyDescent="0.2">
      <c r="B129" s="104"/>
    </row>
    <row r="130" spans="2:2" ht="12.75" x14ac:dyDescent="0.2">
      <c r="B130" s="104"/>
    </row>
    <row r="131" spans="2:2" ht="12.75" x14ac:dyDescent="0.2">
      <c r="B131" s="104"/>
    </row>
    <row r="132" spans="2:2" ht="12.75" x14ac:dyDescent="0.2">
      <c r="B132" s="104"/>
    </row>
    <row r="133" spans="2:2" ht="12.75" x14ac:dyDescent="0.2">
      <c r="B133" s="104"/>
    </row>
    <row r="134" spans="2:2" ht="12.75" x14ac:dyDescent="0.2">
      <c r="B134" s="104"/>
    </row>
    <row r="135" spans="2:2" ht="12.75" x14ac:dyDescent="0.2">
      <c r="B135" s="104"/>
    </row>
    <row r="136" spans="2:2" ht="12.75" x14ac:dyDescent="0.2">
      <c r="B136" s="104"/>
    </row>
    <row r="137" spans="2:2" ht="12.75" x14ac:dyDescent="0.2">
      <c r="B137" s="104"/>
    </row>
    <row r="138" spans="2:2" ht="12.75" x14ac:dyDescent="0.2">
      <c r="B138" s="104"/>
    </row>
    <row r="139" spans="2:2" ht="12.75" x14ac:dyDescent="0.2">
      <c r="B139" s="104"/>
    </row>
    <row r="140" spans="2:2" ht="12.75" x14ac:dyDescent="0.2">
      <c r="B140" s="104"/>
    </row>
    <row r="141" spans="2:2" ht="12.75" x14ac:dyDescent="0.2">
      <c r="B141" s="104"/>
    </row>
    <row r="142" spans="2:2" ht="12.75" x14ac:dyDescent="0.2">
      <c r="B142" s="104"/>
    </row>
    <row r="143" spans="2:2" ht="12.75" x14ac:dyDescent="0.2">
      <c r="B143" s="104"/>
    </row>
    <row r="144" spans="2:2" ht="12.75" x14ac:dyDescent="0.2">
      <c r="B144" s="104"/>
    </row>
    <row r="145" spans="2:2" ht="12.75" x14ac:dyDescent="0.2">
      <c r="B145" s="104"/>
    </row>
    <row r="146" spans="2:2" ht="12.75" x14ac:dyDescent="0.2">
      <c r="B146" s="104"/>
    </row>
    <row r="147" spans="2:2" ht="12.75" x14ac:dyDescent="0.2">
      <c r="B147" s="104"/>
    </row>
    <row r="148" spans="2:2" ht="12.75" x14ac:dyDescent="0.2">
      <c r="B148" s="104"/>
    </row>
    <row r="149" spans="2:2" ht="12.75" x14ac:dyDescent="0.2">
      <c r="B149" s="104"/>
    </row>
    <row r="150" spans="2:2" ht="12.75" x14ac:dyDescent="0.2">
      <c r="B150" s="104"/>
    </row>
    <row r="151" spans="2:2" ht="12.75" x14ac:dyDescent="0.2">
      <c r="B151" s="104"/>
    </row>
    <row r="152" spans="2:2" ht="12.75" x14ac:dyDescent="0.2">
      <c r="B152" s="104"/>
    </row>
    <row r="153" spans="2:2" ht="12.75" x14ac:dyDescent="0.2">
      <c r="B153" s="104"/>
    </row>
    <row r="154" spans="2:2" ht="12.75" x14ac:dyDescent="0.2">
      <c r="B154" s="104"/>
    </row>
    <row r="155" spans="2:2" ht="12.75" x14ac:dyDescent="0.2">
      <c r="B155" s="104"/>
    </row>
    <row r="156" spans="2:2" ht="12.75" x14ac:dyDescent="0.2">
      <c r="B156" s="104"/>
    </row>
    <row r="157" spans="2:2" ht="12.75" x14ac:dyDescent="0.2">
      <c r="B157" s="104"/>
    </row>
    <row r="158" spans="2:2" ht="12.75" x14ac:dyDescent="0.2">
      <c r="B158" s="104"/>
    </row>
    <row r="159" spans="2:2" ht="12.75" x14ac:dyDescent="0.2">
      <c r="B159" s="104"/>
    </row>
    <row r="160" spans="2:2" ht="12.75" x14ac:dyDescent="0.2">
      <c r="B160" s="104"/>
    </row>
    <row r="161" spans="2:2" ht="12.75" x14ac:dyDescent="0.2">
      <c r="B161" s="104"/>
    </row>
    <row r="162" spans="2:2" ht="12.75" x14ac:dyDescent="0.2">
      <c r="B162" s="104"/>
    </row>
    <row r="163" spans="2:2" ht="12.75" x14ac:dyDescent="0.2">
      <c r="B163" s="104"/>
    </row>
    <row r="164" spans="2:2" ht="12.75" x14ac:dyDescent="0.2">
      <c r="B164" s="104"/>
    </row>
    <row r="165" spans="2:2" ht="12.75" x14ac:dyDescent="0.2">
      <c r="B165" s="104"/>
    </row>
    <row r="166" spans="2:2" ht="12.75" x14ac:dyDescent="0.2">
      <c r="B166" s="104"/>
    </row>
    <row r="167" spans="2:2" ht="12.75" x14ac:dyDescent="0.2">
      <c r="B167" s="104"/>
    </row>
    <row r="168" spans="2:2" ht="12.75" x14ac:dyDescent="0.2">
      <c r="B168" s="104"/>
    </row>
    <row r="169" spans="2:2" ht="12.75" x14ac:dyDescent="0.2">
      <c r="B169" s="104"/>
    </row>
    <row r="170" spans="2:2" ht="12.75" x14ac:dyDescent="0.2">
      <c r="B170" s="104"/>
    </row>
    <row r="171" spans="2:2" ht="12.75" x14ac:dyDescent="0.2">
      <c r="B171" s="104"/>
    </row>
    <row r="172" spans="2:2" ht="12.75" x14ac:dyDescent="0.2">
      <c r="B172" s="104"/>
    </row>
    <row r="173" spans="2:2" ht="12.75" x14ac:dyDescent="0.2">
      <c r="B173" s="104"/>
    </row>
    <row r="174" spans="2:2" ht="12.75" x14ac:dyDescent="0.2">
      <c r="B174" s="104"/>
    </row>
    <row r="175" spans="2:2" ht="12.75" x14ac:dyDescent="0.2">
      <c r="B175" s="104"/>
    </row>
    <row r="176" spans="2:2" ht="12.75" x14ac:dyDescent="0.2">
      <c r="B176" s="104"/>
    </row>
    <row r="177" spans="2:2" ht="12.75" x14ac:dyDescent="0.2">
      <c r="B177" s="104"/>
    </row>
    <row r="178" spans="2:2" ht="12.75" x14ac:dyDescent="0.2">
      <c r="B178" s="104"/>
    </row>
    <row r="179" spans="2:2" ht="12.75" x14ac:dyDescent="0.2">
      <c r="B179" s="104"/>
    </row>
    <row r="180" spans="2:2" ht="12.75" x14ac:dyDescent="0.2">
      <c r="B180" s="104"/>
    </row>
    <row r="181" spans="2:2" ht="12.75" x14ac:dyDescent="0.2">
      <c r="B181" s="104"/>
    </row>
    <row r="182" spans="2:2" ht="12.75" x14ac:dyDescent="0.2">
      <c r="B182" s="104"/>
    </row>
    <row r="183" spans="2:2" ht="12.75" x14ac:dyDescent="0.2">
      <c r="B183" s="104"/>
    </row>
    <row r="184" spans="2:2" ht="12.75" x14ac:dyDescent="0.2">
      <c r="B184" s="104"/>
    </row>
    <row r="185" spans="2:2" ht="12.75" x14ac:dyDescent="0.2">
      <c r="B185" s="104"/>
    </row>
    <row r="186" spans="2:2" ht="12.75" x14ac:dyDescent="0.2">
      <c r="B186" s="104"/>
    </row>
    <row r="187" spans="2:2" ht="12.75" x14ac:dyDescent="0.2">
      <c r="B187" s="104"/>
    </row>
    <row r="188" spans="2:2" ht="12.75" x14ac:dyDescent="0.2">
      <c r="B188" s="104"/>
    </row>
    <row r="189" spans="2:2" ht="12.75" x14ac:dyDescent="0.2">
      <c r="B189" s="104"/>
    </row>
    <row r="190" spans="2:2" ht="12.75" x14ac:dyDescent="0.2">
      <c r="B190" s="104"/>
    </row>
    <row r="191" spans="2:2" ht="12.75" x14ac:dyDescent="0.2">
      <c r="B191" s="104"/>
    </row>
    <row r="192" spans="2:2" ht="12.75" x14ac:dyDescent="0.2">
      <c r="B192" s="104"/>
    </row>
    <row r="193" spans="2:2" ht="12.75" x14ac:dyDescent="0.2">
      <c r="B193" s="104"/>
    </row>
    <row r="194" spans="2:2" ht="12.75" x14ac:dyDescent="0.2">
      <c r="B194" s="104"/>
    </row>
    <row r="195" spans="2:2" ht="12.75" x14ac:dyDescent="0.2">
      <c r="B195" s="104"/>
    </row>
    <row r="196" spans="2:2" ht="12.75" x14ac:dyDescent="0.2">
      <c r="B196" s="104"/>
    </row>
    <row r="197" spans="2:2" ht="12.75" x14ac:dyDescent="0.2">
      <c r="B197" s="104"/>
    </row>
    <row r="198" spans="2:2" ht="12.75" x14ac:dyDescent="0.2">
      <c r="B198" s="104"/>
    </row>
    <row r="199" spans="2:2" ht="12.75" x14ac:dyDescent="0.2">
      <c r="B199" s="104"/>
    </row>
    <row r="200" spans="2:2" ht="12.75" x14ac:dyDescent="0.2">
      <c r="B200" s="104"/>
    </row>
    <row r="201" spans="2:2" ht="12.75" x14ac:dyDescent="0.2">
      <c r="B201" s="104"/>
    </row>
    <row r="202" spans="2:2" ht="12.75" x14ac:dyDescent="0.2">
      <c r="B202" s="104"/>
    </row>
    <row r="203" spans="2:2" ht="12.75" x14ac:dyDescent="0.2">
      <c r="B203" s="104"/>
    </row>
    <row r="204" spans="2:2" ht="12.75" x14ac:dyDescent="0.2">
      <c r="B204" s="104"/>
    </row>
    <row r="205" spans="2:2" ht="12.75" x14ac:dyDescent="0.2">
      <c r="B205" s="104"/>
    </row>
    <row r="206" spans="2:2" ht="12.75" x14ac:dyDescent="0.2">
      <c r="B206" s="104"/>
    </row>
    <row r="207" spans="2:2" ht="12.75" x14ac:dyDescent="0.2">
      <c r="B207" s="104"/>
    </row>
    <row r="208" spans="2:2" ht="12.75" x14ac:dyDescent="0.2">
      <c r="B208" s="104"/>
    </row>
    <row r="209" spans="2:2" ht="12.75" x14ac:dyDescent="0.2">
      <c r="B209" s="104"/>
    </row>
    <row r="210" spans="2:2" ht="12.75" x14ac:dyDescent="0.2">
      <c r="B210" s="104"/>
    </row>
    <row r="211" spans="2:2" ht="12.75" x14ac:dyDescent="0.2">
      <c r="B211" s="104"/>
    </row>
    <row r="212" spans="2:2" ht="12.75" x14ac:dyDescent="0.2">
      <c r="B212" s="104"/>
    </row>
    <row r="213" spans="2:2" ht="12.75" x14ac:dyDescent="0.2">
      <c r="B213" s="104"/>
    </row>
    <row r="214" spans="2:2" ht="12.75" x14ac:dyDescent="0.2">
      <c r="B214" s="104"/>
    </row>
    <row r="215" spans="2:2" ht="12.75" x14ac:dyDescent="0.2">
      <c r="B215" s="104"/>
    </row>
    <row r="216" spans="2:2" ht="12.75" x14ac:dyDescent="0.2">
      <c r="B216" s="104"/>
    </row>
    <row r="217" spans="2:2" ht="12.75" x14ac:dyDescent="0.2">
      <c r="B217" s="104"/>
    </row>
    <row r="218" spans="2:2" ht="12.75" x14ac:dyDescent="0.2">
      <c r="B218" s="104"/>
    </row>
    <row r="219" spans="2:2" ht="12.75" x14ac:dyDescent="0.2">
      <c r="B219" s="104"/>
    </row>
    <row r="220" spans="2:2" ht="12.75" x14ac:dyDescent="0.2">
      <c r="B220" s="104"/>
    </row>
    <row r="221" spans="2:2" ht="12.75" x14ac:dyDescent="0.2">
      <c r="B221" s="104"/>
    </row>
    <row r="222" spans="2:2" ht="12.75" x14ac:dyDescent="0.2">
      <c r="B222" s="104"/>
    </row>
    <row r="223" spans="2:2" ht="12.75" x14ac:dyDescent="0.2">
      <c r="B223" s="104"/>
    </row>
    <row r="224" spans="2:2" ht="12.75" x14ac:dyDescent="0.2">
      <c r="B224" s="104"/>
    </row>
    <row r="225" spans="2:2" ht="12.75" x14ac:dyDescent="0.2">
      <c r="B225" s="104"/>
    </row>
    <row r="226" spans="2:2" ht="12.75" x14ac:dyDescent="0.2">
      <c r="B226" s="104"/>
    </row>
    <row r="227" spans="2:2" ht="12.75" x14ac:dyDescent="0.2">
      <c r="B227" s="104"/>
    </row>
    <row r="228" spans="2:2" ht="12.75" x14ac:dyDescent="0.2">
      <c r="B228" s="104"/>
    </row>
    <row r="229" spans="2:2" ht="12.75" x14ac:dyDescent="0.2">
      <c r="B229" s="104"/>
    </row>
    <row r="230" spans="2:2" ht="12.75" x14ac:dyDescent="0.2">
      <c r="B230" s="104"/>
    </row>
    <row r="231" spans="2:2" ht="12.75" x14ac:dyDescent="0.2">
      <c r="B231" s="104"/>
    </row>
    <row r="232" spans="2:2" ht="12.75" x14ac:dyDescent="0.2">
      <c r="B232" s="104"/>
    </row>
    <row r="233" spans="2:2" ht="12.75" x14ac:dyDescent="0.2">
      <c r="B233" s="104"/>
    </row>
    <row r="234" spans="2:2" ht="12.75" x14ac:dyDescent="0.2">
      <c r="B234" s="104"/>
    </row>
    <row r="235" spans="2:2" ht="12.75" x14ac:dyDescent="0.2">
      <c r="B235" s="104"/>
    </row>
    <row r="236" spans="2:2" ht="12.75" x14ac:dyDescent="0.2">
      <c r="B236" s="104"/>
    </row>
    <row r="237" spans="2:2" ht="12.75" x14ac:dyDescent="0.2">
      <c r="B237" s="104"/>
    </row>
    <row r="238" spans="2:2" ht="12.75" x14ac:dyDescent="0.2">
      <c r="B238" s="104"/>
    </row>
    <row r="239" spans="2:2" ht="12.75" x14ac:dyDescent="0.2">
      <c r="B239" s="104"/>
    </row>
    <row r="240" spans="2:2" ht="12.75" x14ac:dyDescent="0.2">
      <c r="B240" s="104"/>
    </row>
    <row r="241" spans="2:2" ht="12.75" x14ac:dyDescent="0.2">
      <c r="B241" s="104"/>
    </row>
    <row r="242" spans="2:2" ht="12.75" x14ac:dyDescent="0.2">
      <c r="B242" s="104"/>
    </row>
    <row r="243" spans="2:2" ht="12.75" x14ac:dyDescent="0.2">
      <c r="B243" s="104"/>
    </row>
    <row r="244" spans="2:2" ht="12.75" x14ac:dyDescent="0.2">
      <c r="B244" s="104"/>
    </row>
    <row r="245" spans="2:2" ht="12.75" x14ac:dyDescent="0.2">
      <c r="B245" s="104"/>
    </row>
    <row r="246" spans="2:2" ht="12.75" x14ac:dyDescent="0.2">
      <c r="B246" s="104"/>
    </row>
    <row r="247" spans="2:2" ht="12.75" x14ac:dyDescent="0.2">
      <c r="B247" s="104"/>
    </row>
    <row r="248" spans="2:2" ht="12.75" x14ac:dyDescent="0.2">
      <c r="B248" s="104"/>
    </row>
    <row r="249" spans="2:2" ht="12.75" x14ac:dyDescent="0.2">
      <c r="B249" s="104"/>
    </row>
    <row r="250" spans="2:2" ht="12.75" x14ac:dyDescent="0.2">
      <c r="B250" s="104"/>
    </row>
    <row r="251" spans="2:2" ht="12.75" x14ac:dyDescent="0.2">
      <c r="B251" s="104"/>
    </row>
    <row r="252" spans="2:2" ht="12.75" x14ac:dyDescent="0.2">
      <c r="B252" s="104"/>
    </row>
    <row r="253" spans="2:2" ht="12.75" x14ac:dyDescent="0.2">
      <c r="B253" s="104"/>
    </row>
    <row r="254" spans="2:2" ht="12.75" x14ac:dyDescent="0.2">
      <c r="B254" s="104"/>
    </row>
    <row r="255" spans="2:2" ht="12.75" x14ac:dyDescent="0.2">
      <c r="B255" s="104"/>
    </row>
    <row r="256" spans="2:2" ht="12.75" x14ac:dyDescent="0.2">
      <c r="B256" s="104"/>
    </row>
    <row r="257" spans="2:2" ht="12.75" x14ac:dyDescent="0.2">
      <c r="B257" s="104"/>
    </row>
    <row r="258" spans="2:2" ht="12.75" x14ac:dyDescent="0.2">
      <c r="B258" s="104"/>
    </row>
    <row r="259" spans="2:2" ht="12.75" x14ac:dyDescent="0.2">
      <c r="B259" s="104"/>
    </row>
    <row r="260" spans="2:2" ht="12.75" x14ac:dyDescent="0.2">
      <c r="B260" s="104"/>
    </row>
    <row r="261" spans="2:2" ht="12.75" x14ac:dyDescent="0.2">
      <c r="B261" s="104"/>
    </row>
    <row r="262" spans="2:2" ht="12.75" x14ac:dyDescent="0.2">
      <c r="B262" s="104"/>
    </row>
    <row r="263" spans="2:2" ht="12.75" x14ac:dyDescent="0.2">
      <c r="B263" s="104"/>
    </row>
    <row r="264" spans="2:2" ht="12.75" x14ac:dyDescent="0.2">
      <c r="B264" s="104"/>
    </row>
    <row r="265" spans="2:2" ht="12.75" x14ac:dyDescent="0.2">
      <c r="B265" s="104"/>
    </row>
    <row r="266" spans="2:2" ht="12.75" x14ac:dyDescent="0.2">
      <c r="B266" s="104"/>
    </row>
    <row r="267" spans="2:2" ht="12.75" x14ac:dyDescent="0.2">
      <c r="B267" s="104"/>
    </row>
    <row r="268" spans="2:2" ht="12.75" x14ac:dyDescent="0.2">
      <c r="B268" s="104"/>
    </row>
    <row r="269" spans="2:2" ht="12.75" x14ac:dyDescent="0.2">
      <c r="B269" s="104"/>
    </row>
    <row r="270" spans="2:2" ht="12.75" x14ac:dyDescent="0.2">
      <c r="B270" s="104"/>
    </row>
    <row r="271" spans="2:2" ht="12.75" x14ac:dyDescent="0.2">
      <c r="B271" s="104"/>
    </row>
    <row r="272" spans="2:2" ht="12.75" x14ac:dyDescent="0.2">
      <c r="B272" s="104"/>
    </row>
    <row r="273" spans="2:2" ht="12.75" x14ac:dyDescent="0.2">
      <c r="B273" s="104"/>
    </row>
    <row r="274" spans="2:2" ht="12.75" x14ac:dyDescent="0.2">
      <c r="B274" s="104"/>
    </row>
    <row r="275" spans="2:2" ht="12.75" x14ac:dyDescent="0.2">
      <c r="B275" s="104"/>
    </row>
    <row r="276" spans="2:2" ht="12.75" x14ac:dyDescent="0.2">
      <c r="B276" s="104"/>
    </row>
    <row r="277" spans="2:2" ht="12.75" x14ac:dyDescent="0.2">
      <c r="B277" s="104"/>
    </row>
    <row r="278" spans="2:2" ht="12.75" x14ac:dyDescent="0.2">
      <c r="B278" s="104"/>
    </row>
    <row r="279" spans="2:2" ht="12.75" x14ac:dyDescent="0.2">
      <c r="B279" s="104"/>
    </row>
    <row r="280" spans="2:2" ht="12.75" x14ac:dyDescent="0.2">
      <c r="B280" s="104"/>
    </row>
    <row r="281" spans="2:2" ht="12.75" x14ac:dyDescent="0.2">
      <c r="B281" s="104"/>
    </row>
    <row r="282" spans="2:2" ht="12.75" x14ac:dyDescent="0.2">
      <c r="B282" s="104"/>
    </row>
    <row r="283" spans="2:2" ht="12.75" x14ac:dyDescent="0.2">
      <c r="B283" s="104"/>
    </row>
    <row r="284" spans="2:2" ht="12.75" x14ac:dyDescent="0.2">
      <c r="B284" s="104"/>
    </row>
    <row r="285" spans="2:2" ht="12.75" x14ac:dyDescent="0.2">
      <c r="B285" s="104"/>
    </row>
    <row r="286" spans="2:2" ht="12.75" x14ac:dyDescent="0.2">
      <c r="B286" s="104"/>
    </row>
    <row r="287" spans="2:2" ht="12.75" x14ac:dyDescent="0.2">
      <c r="B287" s="104"/>
    </row>
    <row r="288" spans="2:2" ht="12.75" x14ac:dyDescent="0.2">
      <c r="B288" s="104"/>
    </row>
    <row r="289" spans="2:2" ht="12.75" x14ac:dyDescent="0.2">
      <c r="B289" s="104"/>
    </row>
    <row r="290" spans="2:2" ht="12.75" x14ac:dyDescent="0.2">
      <c r="B290" s="104"/>
    </row>
    <row r="291" spans="2:2" ht="12.75" x14ac:dyDescent="0.2">
      <c r="B291" s="104"/>
    </row>
    <row r="292" spans="2:2" ht="12.75" x14ac:dyDescent="0.2">
      <c r="B292" s="104"/>
    </row>
    <row r="293" spans="2:2" ht="12.75" x14ac:dyDescent="0.2">
      <c r="B293" s="104"/>
    </row>
    <row r="294" spans="2:2" ht="12.75" x14ac:dyDescent="0.2">
      <c r="B294" s="104"/>
    </row>
    <row r="295" spans="2:2" ht="12.75" x14ac:dyDescent="0.2">
      <c r="B295" s="104"/>
    </row>
    <row r="296" spans="2:2" ht="12.75" x14ac:dyDescent="0.2">
      <c r="B296" s="104"/>
    </row>
    <row r="297" spans="2:2" ht="12.75" x14ac:dyDescent="0.2">
      <c r="B297" s="104"/>
    </row>
    <row r="298" spans="2:2" ht="12.75" x14ac:dyDescent="0.2">
      <c r="B298" s="104"/>
    </row>
    <row r="299" spans="2:2" ht="12.75" x14ac:dyDescent="0.2">
      <c r="B299" s="104"/>
    </row>
    <row r="300" spans="2:2" ht="12.75" x14ac:dyDescent="0.2">
      <c r="B300" s="104"/>
    </row>
    <row r="301" spans="2:2" ht="12.75" x14ac:dyDescent="0.2">
      <c r="B301" s="104"/>
    </row>
    <row r="302" spans="2:2" ht="12.75" x14ac:dyDescent="0.2">
      <c r="B302" s="104"/>
    </row>
    <row r="303" spans="2:2" ht="12.75" x14ac:dyDescent="0.2">
      <c r="B303" s="104"/>
    </row>
    <row r="304" spans="2:2" ht="12.75" x14ac:dyDescent="0.2">
      <c r="B304" s="104"/>
    </row>
    <row r="305" spans="2:2" ht="12.75" x14ac:dyDescent="0.2">
      <c r="B305" s="104"/>
    </row>
    <row r="306" spans="2:2" ht="12.75" x14ac:dyDescent="0.2">
      <c r="B306" s="104"/>
    </row>
    <row r="307" spans="2:2" ht="12.75" x14ac:dyDescent="0.2">
      <c r="B307" s="104"/>
    </row>
    <row r="308" spans="2:2" ht="12.75" x14ac:dyDescent="0.2">
      <c r="B308" s="104"/>
    </row>
    <row r="309" spans="2:2" ht="12.75" x14ac:dyDescent="0.2">
      <c r="B309" s="104"/>
    </row>
    <row r="310" spans="2:2" ht="12.75" x14ac:dyDescent="0.2">
      <c r="B310" s="104"/>
    </row>
    <row r="311" spans="2:2" ht="12.75" x14ac:dyDescent="0.2">
      <c r="B311" s="104"/>
    </row>
    <row r="312" spans="2:2" ht="12.75" x14ac:dyDescent="0.2">
      <c r="B312" s="104"/>
    </row>
    <row r="313" spans="2:2" ht="12.75" x14ac:dyDescent="0.2">
      <c r="B313" s="104"/>
    </row>
    <row r="314" spans="2:2" ht="12.75" x14ac:dyDescent="0.2">
      <c r="B314" s="104"/>
    </row>
    <row r="315" spans="2:2" ht="12.75" x14ac:dyDescent="0.2">
      <c r="B315" s="104"/>
    </row>
    <row r="316" spans="2:2" ht="12.75" x14ac:dyDescent="0.2">
      <c r="B316" s="104"/>
    </row>
    <row r="317" spans="2:2" ht="12.75" x14ac:dyDescent="0.2">
      <c r="B317" s="104"/>
    </row>
    <row r="318" spans="2:2" ht="12.75" x14ac:dyDescent="0.2">
      <c r="B318" s="104"/>
    </row>
    <row r="319" spans="2:2" ht="12.75" x14ac:dyDescent="0.2">
      <c r="B319" s="104"/>
    </row>
    <row r="320" spans="2:2" ht="12.75" x14ac:dyDescent="0.2">
      <c r="B320" s="104"/>
    </row>
    <row r="321" spans="2:2" ht="12.75" x14ac:dyDescent="0.2">
      <c r="B321" s="104"/>
    </row>
    <row r="322" spans="2:2" ht="12.75" x14ac:dyDescent="0.2">
      <c r="B322" s="104"/>
    </row>
    <row r="323" spans="2:2" ht="12.75" x14ac:dyDescent="0.2">
      <c r="B323" s="104"/>
    </row>
    <row r="324" spans="2:2" ht="12.75" x14ac:dyDescent="0.2">
      <c r="B324" s="104"/>
    </row>
    <row r="325" spans="2:2" ht="12.75" x14ac:dyDescent="0.2">
      <c r="B325" s="104"/>
    </row>
    <row r="326" spans="2:2" ht="12.75" x14ac:dyDescent="0.2">
      <c r="B326" s="104"/>
    </row>
    <row r="327" spans="2:2" ht="12.75" x14ac:dyDescent="0.2">
      <c r="B327" s="104"/>
    </row>
    <row r="328" spans="2:2" ht="12.75" x14ac:dyDescent="0.2">
      <c r="B328" s="104"/>
    </row>
    <row r="329" spans="2:2" ht="12.75" x14ac:dyDescent="0.2">
      <c r="B329" s="104"/>
    </row>
    <row r="330" spans="2:2" ht="12.75" x14ac:dyDescent="0.2">
      <c r="B330" s="104"/>
    </row>
    <row r="331" spans="2:2" ht="12.75" x14ac:dyDescent="0.2">
      <c r="B331" s="104"/>
    </row>
    <row r="332" spans="2:2" ht="12.75" x14ac:dyDescent="0.2">
      <c r="B332" s="104"/>
    </row>
    <row r="333" spans="2:2" ht="12.75" x14ac:dyDescent="0.2">
      <c r="B333" s="104"/>
    </row>
    <row r="334" spans="2:2" ht="12.75" x14ac:dyDescent="0.2">
      <c r="B334" s="104"/>
    </row>
    <row r="335" spans="2:2" ht="12.75" x14ac:dyDescent="0.2">
      <c r="B335" s="104"/>
    </row>
    <row r="336" spans="2:2" ht="12.75" x14ac:dyDescent="0.2">
      <c r="B336" s="104"/>
    </row>
    <row r="337" spans="2:2" ht="12.75" x14ac:dyDescent="0.2">
      <c r="B337" s="104"/>
    </row>
    <row r="338" spans="2:2" ht="12.75" x14ac:dyDescent="0.2">
      <c r="B338" s="104"/>
    </row>
    <row r="339" spans="2:2" ht="12.75" x14ac:dyDescent="0.2">
      <c r="B339" s="104"/>
    </row>
    <row r="340" spans="2:2" ht="12.75" x14ac:dyDescent="0.2">
      <c r="B340" s="104"/>
    </row>
    <row r="341" spans="2:2" ht="12.75" x14ac:dyDescent="0.2">
      <c r="B341" s="104"/>
    </row>
    <row r="342" spans="2:2" ht="12.75" x14ac:dyDescent="0.2">
      <c r="B342" s="104"/>
    </row>
    <row r="343" spans="2:2" ht="12.75" x14ac:dyDescent="0.2">
      <c r="B343" s="104"/>
    </row>
    <row r="344" spans="2:2" ht="12.75" x14ac:dyDescent="0.2">
      <c r="B344" s="104"/>
    </row>
    <row r="345" spans="2:2" ht="12.75" x14ac:dyDescent="0.2">
      <c r="B345" s="104"/>
    </row>
    <row r="346" spans="2:2" ht="12.75" x14ac:dyDescent="0.2">
      <c r="B346" s="104"/>
    </row>
    <row r="347" spans="2:2" ht="12.75" x14ac:dyDescent="0.2">
      <c r="B347" s="104"/>
    </row>
    <row r="348" spans="2:2" ht="12.75" x14ac:dyDescent="0.2">
      <c r="B348" s="104"/>
    </row>
    <row r="349" spans="2:2" ht="12.75" x14ac:dyDescent="0.2">
      <c r="B349" s="104"/>
    </row>
    <row r="350" spans="2:2" ht="12.75" x14ac:dyDescent="0.2">
      <c r="B350" s="104"/>
    </row>
    <row r="351" spans="2:2" ht="12.75" x14ac:dyDescent="0.2">
      <c r="B351" s="104"/>
    </row>
    <row r="352" spans="2:2" ht="12.75" x14ac:dyDescent="0.2">
      <c r="B352" s="104"/>
    </row>
    <row r="353" spans="2:2" ht="12.75" x14ac:dyDescent="0.2">
      <c r="B353" s="104"/>
    </row>
    <row r="354" spans="2:2" ht="12.75" x14ac:dyDescent="0.2">
      <c r="B354" s="104"/>
    </row>
    <row r="355" spans="2:2" ht="12.75" x14ac:dyDescent="0.2">
      <c r="B355" s="104"/>
    </row>
    <row r="356" spans="2:2" ht="12.75" x14ac:dyDescent="0.2">
      <c r="B356" s="104"/>
    </row>
    <row r="357" spans="2:2" ht="12.75" x14ac:dyDescent="0.2">
      <c r="B357" s="104"/>
    </row>
    <row r="358" spans="2:2" ht="12.75" x14ac:dyDescent="0.2">
      <c r="B358" s="104"/>
    </row>
    <row r="359" spans="2:2" ht="12.75" x14ac:dyDescent="0.2">
      <c r="B359" s="104"/>
    </row>
    <row r="360" spans="2:2" ht="12.75" x14ac:dyDescent="0.2">
      <c r="B360" s="104"/>
    </row>
    <row r="361" spans="2:2" ht="12.75" x14ac:dyDescent="0.2">
      <c r="B361" s="104"/>
    </row>
    <row r="362" spans="2:2" ht="12.75" x14ac:dyDescent="0.2">
      <c r="B362" s="104"/>
    </row>
    <row r="363" spans="2:2" ht="12.75" x14ac:dyDescent="0.2">
      <c r="B363" s="104"/>
    </row>
    <row r="364" spans="2:2" ht="12.75" x14ac:dyDescent="0.2">
      <c r="B364" s="104"/>
    </row>
    <row r="365" spans="2:2" ht="12.75" x14ac:dyDescent="0.2">
      <c r="B365" s="104"/>
    </row>
    <row r="366" spans="2:2" ht="12.75" x14ac:dyDescent="0.2">
      <c r="B366" s="104"/>
    </row>
    <row r="367" spans="2:2" ht="12.75" x14ac:dyDescent="0.2">
      <c r="B367" s="104"/>
    </row>
    <row r="368" spans="2:2" ht="12.75" x14ac:dyDescent="0.2">
      <c r="B368" s="104"/>
    </row>
    <row r="369" spans="2:2" ht="12.75" x14ac:dyDescent="0.2">
      <c r="B369" s="104"/>
    </row>
    <row r="370" spans="2:2" ht="12.75" x14ac:dyDescent="0.2">
      <c r="B370" s="104"/>
    </row>
    <row r="371" spans="2:2" ht="12.75" x14ac:dyDescent="0.2">
      <c r="B371" s="104"/>
    </row>
    <row r="372" spans="2:2" ht="12.75" x14ac:dyDescent="0.2">
      <c r="B372" s="104"/>
    </row>
    <row r="373" spans="2:2" ht="12.75" x14ac:dyDescent="0.2">
      <c r="B373" s="104"/>
    </row>
    <row r="374" spans="2:2" ht="12.75" x14ac:dyDescent="0.2">
      <c r="B374" s="104"/>
    </row>
    <row r="375" spans="2:2" ht="12.75" x14ac:dyDescent="0.2">
      <c r="B375" s="104"/>
    </row>
    <row r="376" spans="2:2" ht="12.75" x14ac:dyDescent="0.2">
      <c r="B376" s="104"/>
    </row>
    <row r="377" spans="2:2" ht="12.75" x14ac:dyDescent="0.2">
      <c r="B377" s="104"/>
    </row>
    <row r="378" spans="2:2" ht="12.75" x14ac:dyDescent="0.2">
      <c r="B378" s="104"/>
    </row>
    <row r="379" spans="2:2" ht="12.75" x14ac:dyDescent="0.2">
      <c r="B379" s="104"/>
    </row>
    <row r="380" spans="2:2" ht="12.75" x14ac:dyDescent="0.2">
      <c r="B380" s="104"/>
    </row>
    <row r="381" spans="2:2" ht="12.75" x14ac:dyDescent="0.2">
      <c r="B381" s="104"/>
    </row>
    <row r="382" spans="2:2" ht="12.75" x14ac:dyDescent="0.2">
      <c r="B382" s="104"/>
    </row>
    <row r="383" spans="2:2" ht="12.75" x14ac:dyDescent="0.2">
      <c r="B383" s="104"/>
    </row>
    <row r="384" spans="2:2" ht="12.75" x14ac:dyDescent="0.2">
      <c r="B384" s="104"/>
    </row>
    <row r="385" spans="2:2" ht="12.75" x14ac:dyDescent="0.2">
      <c r="B385" s="104"/>
    </row>
    <row r="386" spans="2:2" ht="12.75" x14ac:dyDescent="0.2">
      <c r="B386" s="104"/>
    </row>
    <row r="387" spans="2:2" ht="12.75" x14ac:dyDescent="0.2">
      <c r="B387" s="104"/>
    </row>
    <row r="388" spans="2:2" ht="12.75" x14ac:dyDescent="0.2">
      <c r="B388" s="104"/>
    </row>
    <row r="389" spans="2:2" ht="12.75" x14ac:dyDescent="0.2">
      <c r="B389" s="104"/>
    </row>
    <row r="390" spans="2:2" ht="12.75" x14ac:dyDescent="0.2">
      <c r="B390" s="104"/>
    </row>
    <row r="391" spans="2:2" ht="12.75" x14ac:dyDescent="0.2">
      <c r="B391" s="104"/>
    </row>
    <row r="392" spans="2:2" ht="12.75" x14ac:dyDescent="0.2">
      <c r="B392" s="104"/>
    </row>
    <row r="393" spans="2:2" ht="12.75" x14ac:dyDescent="0.2">
      <c r="B393" s="104"/>
    </row>
    <row r="394" spans="2:2" ht="12.75" x14ac:dyDescent="0.2">
      <c r="B394" s="104"/>
    </row>
    <row r="395" spans="2:2" ht="12.75" x14ac:dyDescent="0.2">
      <c r="B395" s="104"/>
    </row>
    <row r="396" spans="2:2" ht="12.75" x14ac:dyDescent="0.2">
      <c r="B396" s="104"/>
    </row>
    <row r="397" spans="2:2" ht="12.75" x14ac:dyDescent="0.2">
      <c r="B397" s="104"/>
    </row>
    <row r="398" spans="2:2" ht="12.75" x14ac:dyDescent="0.2">
      <c r="B398" s="104"/>
    </row>
    <row r="399" spans="2:2" ht="12.75" x14ac:dyDescent="0.2">
      <c r="B399" s="104"/>
    </row>
    <row r="400" spans="2:2" ht="12.75" x14ac:dyDescent="0.2">
      <c r="B400" s="104"/>
    </row>
    <row r="401" spans="2:2" ht="12.75" x14ac:dyDescent="0.2">
      <c r="B401" s="104"/>
    </row>
    <row r="402" spans="2:2" ht="12.75" x14ac:dyDescent="0.2">
      <c r="B402" s="104"/>
    </row>
    <row r="403" spans="2:2" ht="12.75" x14ac:dyDescent="0.2">
      <c r="B403" s="104"/>
    </row>
    <row r="404" spans="2:2" ht="12.75" x14ac:dyDescent="0.2">
      <c r="B404" s="104"/>
    </row>
    <row r="405" spans="2:2" ht="12.75" x14ac:dyDescent="0.2">
      <c r="B405" s="104"/>
    </row>
    <row r="406" spans="2:2" ht="12.75" x14ac:dyDescent="0.2">
      <c r="B406" s="104"/>
    </row>
    <row r="407" spans="2:2" ht="12.75" x14ac:dyDescent="0.2">
      <c r="B407" s="104"/>
    </row>
    <row r="408" spans="2:2" ht="12.75" x14ac:dyDescent="0.2">
      <c r="B408" s="104"/>
    </row>
    <row r="409" spans="2:2" ht="12.75" x14ac:dyDescent="0.2">
      <c r="B409" s="104"/>
    </row>
    <row r="410" spans="2:2" ht="12.75" x14ac:dyDescent="0.2">
      <c r="B410" s="104"/>
    </row>
    <row r="411" spans="2:2" ht="12.75" x14ac:dyDescent="0.2">
      <c r="B411" s="104"/>
    </row>
    <row r="412" spans="2:2" ht="12.75" x14ac:dyDescent="0.2">
      <c r="B412" s="104"/>
    </row>
    <row r="413" spans="2:2" ht="12.75" x14ac:dyDescent="0.2">
      <c r="B413" s="104"/>
    </row>
    <row r="414" spans="2:2" ht="12.75" x14ac:dyDescent="0.2">
      <c r="B414" s="104"/>
    </row>
    <row r="415" spans="2:2" ht="12.75" x14ac:dyDescent="0.2">
      <c r="B415" s="104"/>
    </row>
    <row r="416" spans="2:2" ht="12.75" x14ac:dyDescent="0.2">
      <c r="B416" s="104"/>
    </row>
    <row r="417" spans="2:2" ht="12.75" x14ac:dyDescent="0.2">
      <c r="B417" s="104"/>
    </row>
    <row r="418" spans="2:2" ht="12.75" x14ac:dyDescent="0.2">
      <c r="B418" s="104"/>
    </row>
    <row r="419" spans="2:2" ht="12.75" x14ac:dyDescent="0.2">
      <c r="B419" s="104"/>
    </row>
    <row r="420" spans="2:2" ht="12.75" x14ac:dyDescent="0.2">
      <c r="B420" s="104"/>
    </row>
    <row r="421" spans="2:2" ht="12.75" x14ac:dyDescent="0.2">
      <c r="B421" s="104"/>
    </row>
    <row r="422" spans="2:2" ht="12.75" x14ac:dyDescent="0.2">
      <c r="B422" s="104"/>
    </row>
    <row r="423" spans="2:2" ht="12.75" x14ac:dyDescent="0.2">
      <c r="B423" s="104"/>
    </row>
    <row r="424" spans="2:2" ht="12.75" x14ac:dyDescent="0.2">
      <c r="B424" s="104"/>
    </row>
    <row r="425" spans="2:2" ht="12.75" x14ac:dyDescent="0.2">
      <c r="B425" s="104"/>
    </row>
    <row r="426" spans="2:2" ht="12.75" x14ac:dyDescent="0.2">
      <c r="B426" s="104"/>
    </row>
    <row r="427" spans="2:2" ht="12.75" x14ac:dyDescent="0.2">
      <c r="B427" s="104"/>
    </row>
    <row r="428" spans="2:2" ht="12.75" x14ac:dyDescent="0.2">
      <c r="B428" s="104"/>
    </row>
    <row r="429" spans="2:2" ht="12.75" x14ac:dyDescent="0.2">
      <c r="B429" s="104"/>
    </row>
    <row r="430" spans="2:2" ht="12.75" x14ac:dyDescent="0.2">
      <c r="B430" s="104"/>
    </row>
    <row r="431" spans="2:2" ht="12.75" x14ac:dyDescent="0.2">
      <c r="B431" s="104"/>
    </row>
    <row r="432" spans="2:2" ht="12.75" x14ac:dyDescent="0.2">
      <c r="B432" s="104"/>
    </row>
    <row r="433" spans="2:2" ht="12.75" x14ac:dyDescent="0.2">
      <c r="B433" s="104"/>
    </row>
    <row r="434" spans="2:2" ht="12.75" x14ac:dyDescent="0.2">
      <c r="B434" s="104"/>
    </row>
    <row r="435" spans="2:2" ht="12.75" x14ac:dyDescent="0.2">
      <c r="B435" s="104"/>
    </row>
    <row r="436" spans="2:2" ht="12.75" x14ac:dyDescent="0.2">
      <c r="B436" s="104"/>
    </row>
    <row r="437" spans="2:2" ht="12.75" x14ac:dyDescent="0.2">
      <c r="B437" s="104"/>
    </row>
    <row r="438" spans="2:2" ht="12.75" x14ac:dyDescent="0.2">
      <c r="B438" s="104"/>
    </row>
    <row r="439" spans="2:2" ht="12.75" x14ac:dyDescent="0.2">
      <c r="B439" s="104"/>
    </row>
    <row r="440" spans="2:2" ht="12.75" x14ac:dyDescent="0.2">
      <c r="B440" s="104"/>
    </row>
    <row r="441" spans="2:2" ht="12.75" x14ac:dyDescent="0.2">
      <c r="B441" s="104"/>
    </row>
    <row r="442" spans="2:2" ht="12.75" x14ac:dyDescent="0.2">
      <c r="B442" s="104"/>
    </row>
    <row r="443" spans="2:2" ht="12.75" x14ac:dyDescent="0.2">
      <c r="B443" s="104"/>
    </row>
    <row r="444" spans="2:2" ht="12.75" x14ac:dyDescent="0.2">
      <c r="B444" s="104"/>
    </row>
    <row r="445" spans="2:2" ht="12.75" x14ac:dyDescent="0.2">
      <c r="B445" s="104"/>
    </row>
    <row r="446" spans="2:2" ht="12.75" x14ac:dyDescent="0.2">
      <c r="B446" s="104"/>
    </row>
    <row r="447" spans="2:2" ht="12.75" x14ac:dyDescent="0.2">
      <c r="B447" s="104"/>
    </row>
    <row r="448" spans="2:2" ht="12.75" x14ac:dyDescent="0.2">
      <c r="B448" s="104"/>
    </row>
    <row r="449" spans="2:2" ht="12.75" x14ac:dyDescent="0.2">
      <c r="B449" s="104"/>
    </row>
    <row r="450" spans="2:2" ht="12.75" x14ac:dyDescent="0.2">
      <c r="B450" s="104"/>
    </row>
    <row r="451" spans="2:2" ht="12.75" x14ac:dyDescent="0.2">
      <c r="B451" s="104"/>
    </row>
    <row r="452" spans="2:2" ht="12.75" x14ac:dyDescent="0.2">
      <c r="B452" s="104"/>
    </row>
    <row r="453" spans="2:2" ht="12.75" x14ac:dyDescent="0.2">
      <c r="B453" s="104"/>
    </row>
    <row r="454" spans="2:2" ht="12.75" x14ac:dyDescent="0.2">
      <c r="B454" s="104"/>
    </row>
    <row r="455" spans="2:2" ht="12.75" x14ac:dyDescent="0.2">
      <c r="B455" s="104"/>
    </row>
    <row r="456" spans="2:2" ht="12.75" x14ac:dyDescent="0.2">
      <c r="B456" s="104"/>
    </row>
    <row r="457" spans="2:2" ht="12.75" x14ac:dyDescent="0.2">
      <c r="B457" s="104"/>
    </row>
    <row r="458" spans="2:2" ht="12.75" x14ac:dyDescent="0.2">
      <c r="B458" s="104"/>
    </row>
    <row r="459" spans="2:2" ht="12.75" x14ac:dyDescent="0.2">
      <c r="B459" s="104"/>
    </row>
    <row r="460" spans="2:2" ht="12.75" x14ac:dyDescent="0.2">
      <c r="B460" s="104"/>
    </row>
    <row r="461" spans="2:2" ht="12.75" x14ac:dyDescent="0.2">
      <c r="B461" s="104"/>
    </row>
    <row r="462" spans="2:2" ht="12.75" x14ac:dyDescent="0.2">
      <c r="B462" s="104"/>
    </row>
    <row r="463" spans="2:2" ht="12.75" x14ac:dyDescent="0.2">
      <c r="B463" s="104"/>
    </row>
    <row r="464" spans="2:2" ht="12.75" x14ac:dyDescent="0.2">
      <c r="B464" s="104"/>
    </row>
    <row r="465" spans="2:2" ht="12.75" x14ac:dyDescent="0.2">
      <c r="B465" s="104"/>
    </row>
    <row r="466" spans="2:2" ht="12.75" x14ac:dyDescent="0.2">
      <c r="B466" s="104"/>
    </row>
    <row r="467" spans="2:2" ht="12.75" x14ac:dyDescent="0.2">
      <c r="B467" s="104"/>
    </row>
    <row r="468" spans="2:2" ht="12.75" x14ac:dyDescent="0.2">
      <c r="B468" s="104"/>
    </row>
    <row r="469" spans="2:2" ht="12.75" x14ac:dyDescent="0.2">
      <c r="B469" s="104"/>
    </row>
    <row r="470" spans="2:2" ht="12.75" x14ac:dyDescent="0.2">
      <c r="B470" s="104"/>
    </row>
    <row r="471" spans="2:2" ht="12.75" x14ac:dyDescent="0.2">
      <c r="B471" s="104"/>
    </row>
    <row r="472" spans="2:2" ht="12.75" x14ac:dyDescent="0.2">
      <c r="B472" s="104"/>
    </row>
    <row r="473" spans="2:2" ht="12.75" x14ac:dyDescent="0.2">
      <c r="B473" s="104"/>
    </row>
    <row r="474" spans="2:2" ht="12.75" x14ac:dyDescent="0.2">
      <c r="B474" s="104"/>
    </row>
    <row r="475" spans="2:2" ht="12.75" x14ac:dyDescent="0.2">
      <c r="B475" s="104"/>
    </row>
    <row r="476" spans="2:2" ht="12.75" x14ac:dyDescent="0.2">
      <c r="B476" s="104"/>
    </row>
    <row r="477" spans="2:2" ht="12.75" x14ac:dyDescent="0.2">
      <c r="B477" s="104"/>
    </row>
    <row r="478" spans="2:2" ht="12.75" x14ac:dyDescent="0.2">
      <c r="B478" s="104"/>
    </row>
    <row r="479" spans="2:2" ht="12.75" x14ac:dyDescent="0.2">
      <c r="B479" s="104"/>
    </row>
    <row r="480" spans="2:2" ht="12.75" x14ac:dyDescent="0.2">
      <c r="B480" s="104"/>
    </row>
    <row r="481" spans="2:2" ht="12.75" x14ac:dyDescent="0.2">
      <c r="B481" s="104"/>
    </row>
    <row r="482" spans="2:2" ht="12.75" x14ac:dyDescent="0.2">
      <c r="B482" s="104"/>
    </row>
    <row r="483" spans="2:2" ht="12.75" x14ac:dyDescent="0.2">
      <c r="B483" s="104"/>
    </row>
    <row r="484" spans="2:2" ht="12.75" x14ac:dyDescent="0.2">
      <c r="B484" s="104"/>
    </row>
    <row r="485" spans="2:2" ht="12.75" x14ac:dyDescent="0.2">
      <c r="B485" s="104"/>
    </row>
    <row r="486" spans="2:2" ht="12.75" x14ac:dyDescent="0.2">
      <c r="B486" s="104"/>
    </row>
    <row r="487" spans="2:2" ht="12.75" x14ac:dyDescent="0.2">
      <c r="B487" s="104"/>
    </row>
    <row r="488" spans="2:2" ht="12.75" x14ac:dyDescent="0.2">
      <c r="B488" s="104"/>
    </row>
    <row r="489" spans="2:2" ht="12.75" x14ac:dyDescent="0.2">
      <c r="B489" s="104"/>
    </row>
    <row r="490" spans="2:2" ht="12.75" x14ac:dyDescent="0.2">
      <c r="B490" s="104"/>
    </row>
    <row r="491" spans="2:2" ht="12.75" x14ac:dyDescent="0.2">
      <c r="B491" s="104"/>
    </row>
    <row r="492" spans="2:2" ht="12.75" x14ac:dyDescent="0.2">
      <c r="B492" s="104"/>
    </row>
    <row r="493" spans="2:2" ht="12.75" x14ac:dyDescent="0.2">
      <c r="B493" s="104"/>
    </row>
    <row r="494" spans="2:2" ht="12.75" x14ac:dyDescent="0.2">
      <c r="B494" s="104"/>
    </row>
    <row r="495" spans="2:2" ht="12.75" x14ac:dyDescent="0.2">
      <c r="B495" s="104"/>
    </row>
    <row r="496" spans="2:2" ht="12.75" x14ac:dyDescent="0.2">
      <c r="B496" s="104"/>
    </row>
    <row r="497" spans="2:2" ht="12.75" x14ac:dyDescent="0.2">
      <c r="B497" s="104"/>
    </row>
    <row r="498" spans="2:2" ht="12.75" x14ac:dyDescent="0.2">
      <c r="B498" s="104"/>
    </row>
    <row r="499" spans="2:2" ht="12.75" x14ac:dyDescent="0.2">
      <c r="B499" s="104"/>
    </row>
    <row r="500" spans="2:2" ht="12.75" x14ac:dyDescent="0.2">
      <c r="B500" s="104"/>
    </row>
    <row r="501" spans="2:2" ht="12.75" x14ac:dyDescent="0.2">
      <c r="B501" s="104"/>
    </row>
    <row r="502" spans="2:2" ht="12.75" x14ac:dyDescent="0.2">
      <c r="B502" s="104"/>
    </row>
    <row r="503" spans="2:2" ht="12.75" x14ac:dyDescent="0.2">
      <c r="B503" s="104"/>
    </row>
    <row r="504" spans="2:2" ht="12.75" x14ac:dyDescent="0.2">
      <c r="B504" s="104"/>
    </row>
    <row r="505" spans="2:2" ht="12.75" x14ac:dyDescent="0.2">
      <c r="B505" s="104"/>
    </row>
    <row r="506" spans="2:2" ht="12.75" x14ac:dyDescent="0.2">
      <c r="B506" s="104"/>
    </row>
    <row r="507" spans="2:2" ht="12.75" x14ac:dyDescent="0.2">
      <c r="B507" s="104"/>
    </row>
    <row r="508" spans="2:2" ht="12.75" x14ac:dyDescent="0.2">
      <c r="B508" s="104"/>
    </row>
    <row r="509" spans="2:2" ht="12.75" x14ac:dyDescent="0.2">
      <c r="B509" s="104"/>
    </row>
    <row r="510" spans="2:2" ht="12.75" x14ac:dyDescent="0.2">
      <c r="B510" s="104"/>
    </row>
    <row r="511" spans="2:2" ht="12.75" x14ac:dyDescent="0.2">
      <c r="B511" s="104"/>
    </row>
    <row r="512" spans="2:2" ht="12.75" x14ac:dyDescent="0.2">
      <c r="B512" s="104"/>
    </row>
    <row r="513" spans="2:2" ht="12.75" x14ac:dyDescent="0.2">
      <c r="B513" s="104"/>
    </row>
    <row r="514" spans="2:2" ht="12.75" x14ac:dyDescent="0.2">
      <c r="B514" s="104"/>
    </row>
    <row r="515" spans="2:2" ht="12.75" x14ac:dyDescent="0.2">
      <c r="B515" s="104"/>
    </row>
    <row r="516" spans="2:2" ht="12.75" x14ac:dyDescent="0.2">
      <c r="B516" s="104"/>
    </row>
    <row r="517" spans="2:2" ht="12.75" x14ac:dyDescent="0.2">
      <c r="B517" s="104"/>
    </row>
    <row r="518" spans="2:2" ht="12.75" x14ac:dyDescent="0.2">
      <c r="B518" s="104"/>
    </row>
    <row r="519" spans="2:2" ht="12.75" x14ac:dyDescent="0.2">
      <c r="B519" s="104"/>
    </row>
    <row r="520" spans="2:2" ht="12.75" x14ac:dyDescent="0.2">
      <c r="B520" s="104"/>
    </row>
    <row r="521" spans="2:2" ht="12.75" x14ac:dyDescent="0.2">
      <c r="B521" s="104"/>
    </row>
    <row r="522" spans="2:2" ht="12.75" x14ac:dyDescent="0.2">
      <c r="B522" s="104"/>
    </row>
    <row r="523" spans="2:2" ht="12.75" x14ac:dyDescent="0.2">
      <c r="B523" s="104"/>
    </row>
    <row r="524" spans="2:2" ht="12.75" x14ac:dyDescent="0.2">
      <c r="B524" s="104"/>
    </row>
    <row r="525" spans="2:2" ht="12.75" x14ac:dyDescent="0.2">
      <c r="B525" s="104"/>
    </row>
    <row r="526" spans="2:2" ht="12.75" x14ac:dyDescent="0.2">
      <c r="B526" s="104"/>
    </row>
    <row r="527" spans="2:2" ht="12.75" x14ac:dyDescent="0.2">
      <c r="B527" s="104"/>
    </row>
    <row r="528" spans="2:2" ht="12.75" x14ac:dyDescent="0.2">
      <c r="B528" s="104"/>
    </row>
    <row r="529" spans="2:2" ht="12.75" x14ac:dyDescent="0.2">
      <c r="B529" s="104"/>
    </row>
    <row r="530" spans="2:2" ht="12.75" x14ac:dyDescent="0.2">
      <c r="B530" s="104"/>
    </row>
    <row r="531" spans="2:2" ht="12.75" x14ac:dyDescent="0.2">
      <c r="B531" s="104"/>
    </row>
    <row r="532" spans="2:2" ht="12.75" x14ac:dyDescent="0.2">
      <c r="B532" s="104"/>
    </row>
    <row r="533" spans="2:2" ht="12.75" x14ac:dyDescent="0.2">
      <c r="B533" s="104"/>
    </row>
    <row r="534" spans="2:2" ht="12.75" x14ac:dyDescent="0.2">
      <c r="B534" s="104"/>
    </row>
    <row r="535" spans="2:2" ht="12.75" x14ac:dyDescent="0.2">
      <c r="B535" s="104"/>
    </row>
    <row r="536" spans="2:2" ht="12.75" x14ac:dyDescent="0.2">
      <c r="B536" s="104"/>
    </row>
    <row r="537" spans="2:2" ht="12.75" x14ac:dyDescent="0.2">
      <c r="B537" s="104"/>
    </row>
    <row r="538" spans="2:2" ht="12.75" x14ac:dyDescent="0.2">
      <c r="B538" s="104"/>
    </row>
    <row r="539" spans="2:2" ht="12.75" x14ac:dyDescent="0.2">
      <c r="B539" s="104"/>
    </row>
    <row r="540" spans="2:2" ht="12.75" x14ac:dyDescent="0.2">
      <c r="B540" s="104"/>
    </row>
    <row r="541" spans="2:2" ht="12.75" x14ac:dyDescent="0.2">
      <c r="B541" s="104"/>
    </row>
    <row r="542" spans="2:2" ht="12.75" x14ac:dyDescent="0.2">
      <c r="B542" s="104"/>
    </row>
    <row r="543" spans="2:2" ht="12.75" x14ac:dyDescent="0.2">
      <c r="B543" s="104"/>
    </row>
    <row r="544" spans="2:2" ht="12.75" x14ac:dyDescent="0.2">
      <c r="B544" s="104"/>
    </row>
    <row r="545" spans="2:2" ht="12.75" x14ac:dyDescent="0.2">
      <c r="B545" s="104"/>
    </row>
    <row r="546" spans="2:2" ht="12.75" x14ac:dyDescent="0.2">
      <c r="B546" s="104"/>
    </row>
    <row r="547" spans="2:2" ht="12.75" x14ac:dyDescent="0.2">
      <c r="B547" s="104"/>
    </row>
    <row r="548" spans="2:2" ht="12.75" x14ac:dyDescent="0.2">
      <c r="B548" s="104"/>
    </row>
    <row r="549" spans="2:2" ht="12.75" x14ac:dyDescent="0.2">
      <c r="B549" s="104"/>
    </row>
    <row r="550" spans="2:2" ht="12.75" x14ac:dyDescent="0.2">
      <c r="B550" s="104"/>
    </row>
    <row r="551" spans="2:2" ht="12.75" x14ac:dyDescent="0.2">
      <c r="B551" s="104"/>
    </row>
    <row r="552" spans="2:2" ht="12.75" x14ac:dyDescent="0.2">
      <c r="B552" s="104"/>
    </row>
    <row r="553" spans="2:2" ht="12.75" x14ac:dyDescent="0.2">
      <c r="B553" s="104"/>
    </row>
    <row r="554" spans="2:2" ht="12.75" x14ac:dyDescent="0.2">
      <c r="B554" s="104"/>
    </row>
    <row r="555" spans="2:2" ht="12.75" x14ac:dyDescent="0.2">
      <c r="B555" s="104"/>
    </row>
    <row r="556" spans="2:2" ht="12.75" x14ac:dyDescent="0.2">
      <c r="B556" s="104"/>
    </row>
    <row r="557" spans="2:2" ht="12.75" x14ac:dyDescent="0.2">
      <c r="B557" s="104"/>
    </row>
    <row r="558" spans="2:2" ht="12.75" x14ac:dyDescent="0.2">
      <c r="B558" s="104"/>
    </row>
    <row r="559" spans="2:2" ht="12.75" x14ac:dyDescent="0.2">
      <c r="B559" s="104"/>
    </row>
    <row r="560" spans="2:2" ht="12.75" x14ac:dyDescent="0.2">
      <c r="B560" s="104"/>
    </row>
    <row r="561" spans="2:2" ht="12.75" x14ac:dyDescent="0.2">
      <c r="B561" s="104"/>
    </row>
    <row r="562" spans="2:2" ht="12.75" x14ac:dyDescent="0.2">
      <c r="B562" s="104"/>
    </row>
    <row r="563" spans="2:2" ht="12.75" x14ac:dyDescent="0.2">
      <c r="B563" s="104"/>
    </row>
    <row r="564" spans="2:2" ht="12.75" x14ac:dyDescent="0.2">
      <c r="B564" s="104"/>
    </row>
    <row r="565" spans="2:2" ht="12.75" x14ac:dyDescent="0.2">
      <c r="B565" s="104"/>
    </row>
    <row r="566" spans="2:2" ht="12.75" x14ac:dyDescent="0.2">
      <c r="B566" s="104"/>
    </row>
    <row r="567" spans="2:2" ht="12.75" x14ac:dyDescent="0.2">
      <c r="B567" s="104"/>
    </row>
    <row r="568" spans="2:2" ht="12.75" x14ac:dyDescent="0.2">
      <c r="B568" s="104"/>
    </row>
    <row r="569" spans="2:2" ht="12.75" x14ac:dyDescent="0.2">
      <c r="B569" s="104"/>
    </row>
    <row r="570" spans="2:2" ht="12.75" x14ac:dyDescent="0.2">
      <c r="B570" s="104"/>
    </row>
    <row r="571" spans="2:2" ht="12.75" x14ac:dyDescent="0.2">
      <c r="B571" s="104"/>
    </row>
    <row r="572" spans="2:2" ht="12.75" x14ac:dyDescent="0.2">
      <c r="B572" s="104"/>
    </row>
    <row r="573" spans="2:2" ht="12.75" x14ac:dyDescent="0.2">
      <c r="B573" s="104"/>
    </row>
    <row r="574" spans="2:2" ht="12.75" x14ac:dyDescent="0.2">
      <c r="B574" s="104"/>
    </row>
    <row r="575" spans="2:2" ht="12.75" x14ac:dyDescent="0.2">
      <c r="B575" s="104"/>
    </row>
    <row r="576" spans="2:2" ht="12.75" x14ac:dyDescent="0.2">
      <c r="B576" s="104"/>
    </row>
    <row r="577" spans="2:2" ht="12.75" x14ac:dyDescent="0.2">
      <c r="B577" s="104"/>
    </row>
    <row r="578" spans="2:2" ht="12.75" x14ac:dyDescent="0.2">
      <c r="B578" s="104"/>
    </row>
    <row r="579" spans="2:2" ht="12.75" x14ac:dyDescent="0.2">
      <c r="B579" s="104"/>
    </row>
    <row r="580" spans="2:2" ht="12.75" x14ac:dyDescent="0.2">
      <c r="B580" s="104"/>
    </row>
    <row r="581" spans="2:2" ht="12.75" x14ac:dyDescent="0.2">
      <c r="B581" s="104"/>
    </row>
    <row r="582" spans="2:2" ht="12.75" x14ac:dyDescent="0.2">
      <c r="B582" s="104"/>
    </row>
    <row r="583" spans="2:2" ht="12.75" x14ac:dyDescent="0.2">
      <c r="B583" s="104"/>
    </row>
    <row r="584" spans="2:2" ht="12.75" x14ac:dyDescent="0.2">
      <c r="B584" s="104"/>
    </row>
    <row r="585" spans="2:2" ht="12.75" x14ac:dyDescent="0.2">
      <c r="B585" s="104"/>
    </row>
    <row r="586" spans="2:2" ht="12.75" x14ac:dyDescent="0.2">
      <c r="B586" s="104"/>
    </row>
    <row r="587" spans="2:2" ht="12.75" x14ac:dyDescent="0.2">
      <c r="B587" s="104"/>
    </row>
    <row r="588" spans="2:2" ht="12.75" x14ac:dyDescent="0.2">
      <c r="B588" s="104"/>
    </row>
    <row r="589" spans="2:2" ht="12.75" x14ac:dyDescent="0.2">
      <c r="B589" s="104"/>
    </row>
    <row r="590" spans="2:2" ht="12.75" x14ac:dyDescent="0.2">
      <c r="B590" s="104"/>
    </row>
    <row r="591" spans="2:2" ht="12.75" x14ac:dyDescent="0.2">
      <c r="B591" s="104"/>
    </row>
    <row r="592" spans="2:2" ht="12.75" x14ac:dyDescent="0.2">
      <c r="B592" s="104"/>
    </row>
    <row r="593" spans="2:2" ht="12.75" x14ac:dyDescent="0.2">
      <c r="B593" s="104"/>
    </row>
    <row r="594" spans="2:2" ht="12.75" x14ac:dyDescent="0.2">
      <c r="B594" s="104"/>
    </row>
    <row r="595" spans="2:2" ht="12.75" x14ac:dyDescent="0.2">
      <c r="B595" s="104"/>
    </row>
    <row r="596" spans="2:2" ht="12.75" x14ac:dyDescent="0.2">
      <c r="B596" s="104"/>
    </row>
    <row r="597" spans="2:2" ht="12.75" x14ac:dyDescent="0.2">
      <c r="B597" s="104"/>
    </row>
    <row r="598" spans="2:2" ht="12.75" x14ac:dyDescent="0.2">
      <c r="B598" s="104"/>
    </row>
    <row r="599" spans="2:2" ht="12.75" x14ac:dyDescent="0.2">
      <c r="B599" s="104"/>
    </row>
    <row r="600" spans="2:2" ht="12.75" x14ac:dyDescent="0.2">
      <c r="B600" s="104"/>
    </row>
    <row r="601" spans="2:2" ht="12.75" x14ac:dyDescent="0.2">
      <c r="B601" s="104"/>
    </row>
    <row r="602" spans="2:2" ht="12.75" x14ac:dyDescent="0.2">
      <c r="B602" s="104"/>
    </row>
    <row r="603" spans="2:2" ht="12.75" x14ac:dyDescent="0.2">
      <c r="B603" s="104"/>
    </row>
    <row r="604" spans="2:2" ht="12.75" x14ac:dyDescent="0.2">
      <c r="B604" s="104"/>
    </row>
    <row r="605" spans="2:2" ht="12.75" x14ac:dyDescent="0.2">
      <c r="B605" s="104"/>
    </row>
    <row r="606" spans="2:2" ht="12.75" x14ac:dyDescent="0.2">
      <c r="B606" s="104"/>
    </row>
    <row r="607" spans="2:2" ht="12.75" x14ac:dyDescent="0.2">
      <c r="B607" s="104"/>
    </row>
    <row r="608" spans="2:2" ht="12.75" x14ac:dyDescent="0.2">
      <c r="B608" s="104"/>
    </row>
    <row r="609" spans="2:2" ht="12.75" x14ac:dyDescent="0.2">
      <c r="B609" s="104"/>
    </row>
    <row r="610" spans="2:2" ht="12.75" x14ac:dyDescent="0.2">
      <c r="B610" s="104"/>
    </row>
    <row r="611" spans="2:2" ht="12.75" x14ac:dyDescent="0.2">
      <c r="B611" s="104"/>
    </row>
    <row r="612" spans="2:2" ht="12.75" x14ac:dyDescent="0.2">
      <c r="B612" s="104"/>
    </row>
    <row r="613" spans="2:2" ht="12.75" x14ac:dyDescent="0.2">
      <c r="B613" s="104"/>
    </row>
    <row r="614" spans="2:2" ht="12.75" x14ac:dyDescent="0.2">
      <c r="B614" s="104"/>
    </row>
    <row r="615" spans="2:2" ht="12.75" x14ac:dyDescent="0.2">
      <c r="B615" s="104"/>
    </row>
    <row r="616" spans="2:2" ht="12.75" x14ac:dyDescent="0.2">
      <c r="B616" s="104"/>
    </row>
    <row r="617" spans="2:2" ht="12.75" x14ac:dyDescent="0.2">
      <c r="B617" s="104"/>
    </row>
    <row r="618" spans="2:2" ht="12.75" x14ac:dyDescent="0.2">
      <c r="B618" s="104"/>
    </row>
    <row r="619" spans="2:2" ht="12.75" x14ac:dyDescent="0.2">
      <c r="B619" s="104"/>
    </row>
    <row r="620" spans="2:2" ht="12.75" x14ac:dyDescent="0.2">
      <c r="B620" s="104"/>
    </row>
    <row r="621" spans="2:2" ht="12.75" x14ac:dyDescent="0.2">
      <c r="B621" s="104"/>
    </row>
    <row r="622" spans="2:2" ht="12.75" x14ac:dyDescent="0.2">
      <c r="B622" s="104"/>
    </row>
    <row r="623" spans="2:2" ht="12.75" x14ac:dyDescent="0.2">
      <c r="B623" s="104"/>
    </row>
    <row r="624" spans="2:2" ht="12.75" x14ac:dyDescent="0.2">
      <c r="B624" s="104"/>
    </row>
    <row r="625" spans="2:2" ht="12.75" x14ac:dyDescent="0.2">
      <c r="B625" s="104"/>
    </row>
    <row r="626" spans="2:2" ht="12.75" x14ac:dyDescent="0.2">
      <c r="B626" s="104"/>
    </row>
    <row r="627" spans="2:2" ht="12.75" x14ac:dyDescent="0.2">
      <c r="B627" s="104"/>
    </row>
    <row r="628" spans="2:2" ht="12.75" x14ac:dyDescent="0.2">
      <c r="B628" s="104"/>
    </row>
    <row r="629" spans="2:2" ht="12.75" x14ac:dyDescent="0.2">
      <c r="B629" s="104"/>
    </row>
    <row r="630" spans="2:2" ht="12.75" x14ac:dyDescent="0.2">
      <c r="B630" s="104"/>
    </row>
    <row r="631" spans="2:2" ht="12.75" x14ac:dyDescent="0.2">
      <c r="B631" s="104"/>
    </row>
    <row r="632" spans="2:2" ht="12.75" x14ac:dyDescent="0.2">
      <c r="B632" s="104"/>
    </row>
    <row r="633" spans="2:2" ht="12.75" x14ac:dyDescent="0.2">
      <c r="B633" s="104"/>
    </row>
    <row r="634" spans="2:2" ht="12.75" x14ac:dyDescent="0.2">
      <c r="B634" s="104"/>
    </row>
    <row r="635" spans="2:2" ht="12.75" x14ac:dyDescent="0.2">
      <c r="B635" s="104"/>
    </row>
    <row r="636" spans="2:2" ht="12.75" x14ac:dyDescent="0.2">
      <c r="B636" s="104"/>
    </row>
    <row r="637" spans="2:2" ht="12.75" x14ac:dyDescent="0.2">
      <c r="B637" s="104"/>
    </row>
    <row r="638" spans="2:2" ht="12.75" x14ac:dyDescent="0.2">
      <c r="B638" s="104"/>
    </row>
    <row r="639" spans="2:2" ht="12.75" x14ac:dyDescent="0.2">
      <c r="B639" s="104"/>
    </row>
    <row r="640" spans="2:2" ht="12.75" x14ac:dyDescent="0.2">
      <c r="B640" s="104"/>
    </row>
    <row r="641" spans="2:2" ht="12.75" x14ac:dyDescent="0.2">
      <c r="B641" s="104"/>
    </row>
    <row r="642" spans="2:2" ht="12.75" x14ac:dyDescent="0.2">
      <c r="B642" s="104"/>
    </row>
    <row r="643" spans="2:2" ht="12.75" x14ac:dyDescent="0.2">
      <c r="B643" s="104"/>
    </row>
    <row r="644" spans="2:2" ht="12.75" x14ac:dyDescent="0.2">
      <c r="B644" s="104"/>
    </row>
    <row r="645" spans="2:2" ht="12.75" x14ac:dyDescent="0.2">
      <c r="B645" s="104"/>
    </row>
    <row r="646" spans="2:2" ht="12.75" x14ac:dyDescent="0.2">
      <c r="B646" s="104"/>
    </row>
    <row r="647" spans="2:2" ht="12.75" x14ac:dyDescent="0.2">
      <c r="B647" s="104"/>
    </row>
    <row r="648" spans="2:2" ht="12.75" x14ac:dyDescent="0.2">
      <c r="B648" s="104"/>
    </row>
    <row r="649" spans="2:2" ht="12.75" x14ac:dyDescent="0.2">
      <c r="B649" s="104"/>
    </row>
    <row r="650" spans="2:2" ht="12.75" x14ac:dyDescent="0.2">
      <c r="B650" s="104"/>
    </row>
    <row r="651" spans="2:2" ht="12.75" x14ac:dyDescent="0.2">
      <c r="B651" s="104"/>
    </row>
    <row r="652" spans="2:2" ht="12.75" x14ac:dyDescent="0.2">
      <c r="B652" s="104"/>
    </row>
    <row r="653" spans="2:2" ht="12.75" x14ac:dyDescent="0.2">
      <c r="B653" s="104"/>
    </row>
    <row r="654" spans="2:2" ht="12.75" x14ac:dyDescent="0.2">
      <c r="B654" s="104"/>
    </row>
    <row r="655" spans="2:2" ht="12.75" x14ac:dyDescent="0.2">
      <c r="B655" s="104"/>
    </row>
    <row r="656" spans="2:2" ht="12.75" x14ac:dyDescent="0.2">
      <c r="B656" s="104"/>
    </row>
    <row r="657" spans="2:2" ht="12.75" x14ac:dyDescent="0.2">
      <c r="B657" s="104"/>
    </row>
    <row r="658" spans="2:2" ht="12.75" x14ac:dyDescent="0.2">
      <c r="B658" s="104"/>
    </row>
    <row r="659" spans="2:2" ht="12.75" x14ac:dyDescent="0.2">
      <c r="B659" s="104"/>
    </row>
    <row r="660" spans="2:2" ht="12.75" x14ac:dyDescent="0.2">
      <c r="B660" s="104"/>
    </row>
    <row r="661" spans="2:2" ht="12.75" x14ac:dyDescent="0.2">
      <c r="B661" s="104"/>
    </row>
    <row r="662" spans="2:2" ht="12.75" x14ac:dyDescent="0.2">
      <c r="B662" s="104"/>
    </row>
    <row r="663" spans="2:2" ht="12.75" x14ac:dyDescent="0.2">
      <c r="B663" s="104"/>
    </row>
    <row r="664" spans="2:2" ht="12.75" x14ac:dyDescent="0.2">
      <c r="B664" s="104"/>
    </row>
    <row r="665" spans="2:2" ht="12.75" x14ac:dyDescent="0.2">
      <c r="B665" s="104"/>
    </row>
    <row r="666" spans="2:2" ht="12.75" x14ac:dyDescent="0.2">
      <c r="B666" s="104"/>
    </row>
    <row r="667" spans="2:2" ht="12.75" x14ac:dyDescent="0.2">
      <c r="B667" s="104"/>
    </row>
    <row r="668" spans="2:2" ht="12.75" x14ac:dyDescent="0.2">
      <c r="B668" s="104"/>
    </row>
    <row r="669" spans="2:2" ht="12.75" x14ac:dyDescent="0.2">
      <c r="B669" s="104"/>
    </row>
    <row r="670" spans="2:2" ht="12.75" x14ac:dyDescent="0.2">
      <c r="B670" s="104"/>
    </row>
    <row r="671" spans="2:2" ht="12.75" x14ac:dyDescent="0.2">
      <c r="B671" s="104"/>
    </row>
    <row r="672" spans="2:2" ht="12.75" x14ac:dyDescent="0.2">
      <c r="B672" s="104"/>
    </row>
    <row r="673" spans="2:2" ht="12.75" x14ac:dyDescent="0.2">
      <c r="B673" s="104"/>
    </row>
    <row r="674" spans="2:2" ht="12.75" x14ac:dyDescent="0.2">
      <c r="B674" s="104"/>
    </row>
    <row r="675" spans="2:2" ht="12.75" x14ac:dyDescent="0.2">
      <c r="B675" s="104"/>
    </row>
    <row r="676" spans="2:2" ht="12.75" x14ac:dyDescent="0.2">
      <c r="B676" s="104"/>
    </row>
    <row r="677" spans="2:2" ht="12.75" x14ac:dyDescent="0.2">
      <c r="B677" s="104"/>
    </row>
    <row r="678" spans="2:2" ht="12.75" x14ac:dyDescent="0.2">
      <c r="B678" s="104"/>
    </row>
    <row r="679" spans="2:2" ht="12.75" x14ac:dyDescent="0.2">
      <c r="B679" s="104"/>
    </row>
    <row r="680" spans="2:2" ht="12.75" x14ac:dyDescent="0.2">
      <c r="B680" s="104"/>
    </row>
    <row r="681" spans="2:2" ht="12.75" x14ac:dyDescent="0.2">
      <c r="B681" s="104"/>
    </row>
    <row r="682" spans="2:2" ht="12.75" x14ac:dyDescent="0.2">
      <c r="B682" s="104"/>
    </row>
    <row r="683" spans="2:2" ht="12.75" x14ac:dyDescent="0.2">
      <c r="B683" s="104"/>
    </row>
    <row r="684" spans="2:2" ht="12.75" x14ac:dyDescent="0.2">
      <c r="B684" s="104"/>
    </row>
    <row r="685" spans="2:2" ht="12.75" x14ac:dyDescent="0.2">
      <c r="B685" s="104"/>
    </row>
    <row r="686" spans="2:2" ht="12.75" x14ac:dyDescent="0.2">
      <c r="B686" s="104"/>
    </row>
    <row r="687" spans="2:2" ht="12.75" x14ac:dyDescent="0.2">
      <c r="B687" s="104"/>
    </row>
    <row r="688" spans="2:2" ht="12.75" x14ac:dyDescent="0.2">
      <c r="B688" s="104"/>
    </row>
    <row r="689" spans="2:2" ht="12.75" x14ac:dyDescent="0.2">
      <c r="B689" s="104"/>
    </row>
    <row r="690" spans="2:2" ht="12.75" x14ac:dyDescent="0.2">
      <c r="B690" s="104"/>
    </row>
    <row r="691" spans="2:2" ht="12.75" x14ac:dyDescent="0.2">
      <c r="B691" s="104"/>
    </row>
    <row r="692" spans="2:2" ht="12.75" x14ac:dyDescent="0.2">
      <c r="B692" s="104"/>
    </row>
    <row r="693" spans="2:2" ht="12.75" x14ac:dyDescent="0.2">
      <c r="B693" s="104"/>
    </row>
    <row r="694" spans="2:2" ht="12.75" x14ac:dyDescent="0.2">
      <c r="B694" s="104"/>
    </row>
    <row r="695" spans="2:2" ht="12.75" x14ac:dyDescent="0.2">
      <c r="B695" s="104"/>
    </row>
    <row r="696" spans="2:2" ht="12.75" x14ac:dyDescent="0.2">
      <c r="B696" s="104"/>
    </row>
    <row r="697" spans="2:2" ht="12.75" x14ac:dyDescent="0.2">
      <c r="B697" s="104"/>
    </row>
    <row r="698" spans="2:2" ht="12.75" x14ac:dyDescent="0.2">
      <c r="B698" s="104"/>
    </row>
    <row r="699" spans="2:2" ht="12.75" x14ac:dyDescent="0.2">
      <c r="B699" s="104"/>
    </row>
    <row r="700" spans="2:2" ht="12.75" x14ac:dyDescent="0.2">
      <c r="B700" s="104"/>
    </row>
    <row r="701" spans="2:2" ht="12.75" x14ac:dyDescent="0.2">
      <c r="B701" s="104"/>
    </row>
    <row r="702" spans="2:2" ht="12.75" x14ac:dyDescent="0.2">
      <c r="B702" s="104"/>
    </row>
    <row r="703" spans="2:2" ht="12.75" x14ac:dyDescent="0.2">
      <c r="B703" s="104"/>
    </row>
    <row r="704" spans="2:2" ht="12.75" x14ac:dyDescent="0.2">
      <c r="B704" s="104"/>
    </row>
    <row r="705" spans="2:2" ht="12.75" x14ac:dyDescent="0.2">
      <c r="B705" s="104"/>
    </row>
    <row r="706" spans="2:2" ht="12.75" x14ac:dyDescent="0.2">
      <c r="B706" s="104"/>
    </row>
    <row r="707" spans="2:2" ht="12.75" x14ac:dyDescent="0.2">
      <c r="B707" s="104"/>
    </row>
    <row r="708" spans="2:2" ht="12.75" x14ac:dyDescent="0.2">
      <c r="B708" s="104"/>
    </row>
    <row r="709" spans="2:2" ht="12.75" x14ac:dyDescent="0.2">
      <c r="B709" s="104"/>
    </row>
    <row r="710" spans="2:2" ht="12.75" x14ac:dyDescent="0.2">
      <c r="B710" s="104"/>
    </row>
    <row r="711" spans="2:2" ht="12.75" x14ac:dyDescent="0.2">
      <c r="B711" s="104"/>
    </row>
    <row r="712" spans="2:2" ht="12.75" x14ac:dyDescent="0.2">
      <c r="B712" s="104"/>
    </row>
    <row r="713" spans="2:2" ht="12.75" x14ac:dyDescent="0.2">
      <c r="B713" s="104"/>
    </row>
    <row r="714" spans="2:2" ht="12.75" x14ac:dyDescent="0.2">
      <c r="B714" s="104"/>
    </row>
    <row r="715" spans="2:2" ht="12.75" x14ac:dyDescent="0.2">
      <c r="B715" s="104"/>
    </row>
    <row r="716" spans="2:2" ht="12.75" x14ac:dyDescent="0.2">
      <c r="B716" s="104"/>
    </row>
    <row r="717" spans="2:2" ht="12.75" x14ac:dyDescent="0.2">
      <c r="B717" s="104"/>
    </row>
    <row r="718" spans="2:2" ht="12.75" x14ac:dyDescent="0.2">
      <c r="B718" s="104"/>
    </row>
    <row r="719" spans="2:2" ht="12.75" x14ac:dyDescent="0.2">
      <c r="B719" s="104"/>
    </row>
    <row r="720" spans="2:2" ht="12.75" x14ac:dyDescent="0.2">
      <c r="B720" s="104"/>
    </row>
    <row r="721" spans="2:2" ht="12.75" x14ac:dyDescent="0.2">
      <c r="B721" s="104"/>
    </row>
    <row r="722" spans="2:2" ht="12.75" x14ac:dyDescent="0.2">
      <c r="B722" s="104"/>
    </row>
    <row r="723" spans="2:2" ht="12.75" x14ac:dyDescent="0.2">
      <c r="B723" s="104"/>
    </row>
    <row r="724" spans="2:2" ht="12.75" x14ac:dyDescent="0.2">
      <c r="B724" s="104"/>
    </row>
    <row r="725" spans="2:2" ht="12.75" x14ac:dyDescent="0.2">
      <c r="B725" s="104"/>
    </row>
    <row r="726" spans="2:2" ht="12.75" x14ac:dyDescent="0.2">
      <c r="B726" s="104"/>
    </row>
    <row r="727" spans="2:2" ht="12.75" x14ac:dyDescent="0.2">
      <c r="B727" s="104"/>
    </row>
    <row r="728" spans="2:2" ht="12.75" x14ac:dyDescent="0.2">
      <c r="B728" s="104"/>
    </row>
    <row r="729" spans="2:2" ht="12.75" x14ac:dyDescent="0.2">
      <c r="B729" s="104"/>
    </row>
    <row r="730" spans="2:2" ht="12.75" x14ac:dyDescent="0.2">
      <c r="B730" s="104"/>
    </row>
    <row r="731" spans="2:2" ht="12.75" x14ac:dyDescent="0.2">
      <c r="B731" s="104"/>
    </row>
    <row r="732" spans="2:2" ht="12.75" x14ac:dyDescent="0.2">
      <c r="B732" s="104"/>
    </row>
    <row r="733" spans="2:2" ht="12.75" x14ac:dyDescent="0.2">
      <c r="B733" s="104"/>
    </row>
    <row r="734" spans="2:2" ht="12.75" x14ac:dyDescent="0.2">
      <c r="B734" s="104"/>
    </row>
    <row r="735" spans="2:2" ht="12.75" x14ac:dyDescent="0.2">
      <c r="B735" s="104"/>
    </row>
    <row r="736" spans="2:2" ht="12.75" x14ac:dyDescent="0.2">
      <c r="B736" s="104"/>
    </row>
    <row r="737" spans="2:2" ht="12.75" x14ac:dyDescent="0.2">
      <c r="B737" s="104"/>
    </row>
    <row r="738" spans="2:2" ht="12.75" x14ac:dyDescent="0.2">
      <c r="B738" s="104"/>
    </row>
    <row r="739" spans="2:2" ht="12.75" x14ac:dyDescent="0.2">
      <c r="B739" s="104"/>
    </row>
    <row r="740" spans="2:2" ht="12.75" x14ac:dyDescent="0.2">
      <c r="B740" s="104"/>
    </row>
    <row r="741" spans="2:2" ht="12.75" x14ac:dyDescent="0.2">
      <c r="B741" s="104"/>
    </row>
    <row r="742" spans="2:2" ht="12.75" x14ac:dyDescent="0.2">
      <c r="B742" s="104"/>
    </row>
    <row r="743" spans="2:2" ht="12.75" x14ac:dyDescent="0.2">
      <c r="B743" s="104"/>
    </row>
    <row r="744" spans="2:2" ht="12.75" x14ac:dyDescent="0.2">
      <c r="B744" s="104"/>
    </row>
    <row r="745" spans="2:2" ht="12.75" x14ac:dyDescent="0.2">
      <c r="B745" s="104"/>
    </row>
    <row r="746" spans="2:2" ht="12.75" x14ac:dyDescent="0.2">
      <c r="B746" s="104"/>
    </row>
    <row r="747" spans="2:2" ht="12.75" x14ac:dyDescent="0.2">
      <c r="B747" s="104"/>
    </row>
    <row r="748" spans="2:2" ht="12.75" x14ac:dyDescent="0.2">
      <c r="B748" s="104"/>
    </row>
    <row r="749" spans="2:2" ht="12.75" x14ac:dyDescent="0.2">
      <c r="B749" s="104"/>
    </row>
    <row r="750" spans="2:2" ht="12.75" x14ac:dyDescent="0.2">
      <c r="B750" s="104"/>
    </row>
    <row r="751" spans="2:2" ht="12.75" x14ac:dyDescent="0.2">
      <c r="B751" s="104"/>
    </row>
    <row r="752" spans="2:2" ht="12.75" x14ac:dyDescent="0.2">
      <c r="B752" s="104"/>
    </row>
    <row r="753" spans="2:2" ht="12.75" x14ac:dyDescent="0.2">
      <c r="B753" s="104"/>
    </row>
    <row r="754" spans="2:2" ht="12.75" x14ac:dyDescent="0.2">
      <c r="B754" s="104"/>
    </row>
    <row r="755" spans="2:2" ht="12.75" x14ac:dyDescent="0.2">
      <c r="B755" s="104"/>
    </row>
    <row r="756" spans="2:2" ht="12.75" x14ac:dyDescent="0.2">
      <c r="B756" s="104"/>
    </row>
    <row r="757" spans="2:2" ht="12.75" x14ac:dyDescent="0.2">
      <c r="B757" s="104"/>
    </row>
    <row r="758" spans="2:2" ht="12.75" x14ac:dyDescent="0.2">
      <c r="B758" s="104"/>
    </row>
    <row r="759" spans="2:2" ht="12.75" x14ac:dyDescent="0.2">
      <c r="B759" s="104"/>
    </row>
    <row r="760" spans="2:2" ht="12.75" x14ac:dyDescent="0.2">
      <c r="B760" s="104"/>
    </row>
    <row r="761" spans="2:2" ht="12.75" x14ac:dyDescent="0.2">
      <c r="B761" s="104"/>
    </row>
    <row r="762" spans="2:2" ht="12.75" x14ac:dyDescent="0.2">
      <c r="B762" s="104"/>
    </row>
    <row r="763" spans="2:2" ht="12.75" x14ac:dyDescent="0.2">
      <c r="B763" s="104"/>
    </row>
    <row r="764" spans="2:2" ht="12.75" x14ac:dyDescent="0.2">
      <c r="B764" s="104"/>
    </row>
    <row r="765" spans="2:2" ht="12.75" x14ac:dyDescent="0.2">
      <c r="B765" s="104"/>
    </row>
    <row r="766" spans="2:2" ht="12.75" x14ac:dyDescent="0.2">
      <c r="B766" s="104"/>
    </row>
    <row r="767" spans="2:2" ht="12.75" x14ac:dyDescent="0.2">
      <c r="B767" s="104"/>
    </row>
    <row r="768" spans="2:2" ht="12.75" x14ac:dyDescent="0.2">
      <c r="B768" s="104"/>
    </row>
    <row r="769" spans="2:2" ht="12.75" x14ac:dyDescent="0.2">
      <c r="B769" s="104"/>
    </row>
    <row r="770" spans="2:2" ht="12.75" x14ac:dyDescent="0.2">
      <c r="B770" s="104"/>
    </row>
    <row r="771" spans="2:2" ht="12.75" x14ac:dyDescent="0.2">
      <c r="B771" s="104"/>
    </row>
    <row r="772" spans="2:2" ht="12.75" x14ac:dyDescent="0.2">
      <c r="B772" s="104"/>
    </row>
    <row r="773" spans="2:2" ht="12.75" x14ac:dyDescent="0.2">
      <c r="B773" s="104"/>
    </row>
    <row r="774" spans="2:2" ht="12.75" x14ac:dyDescent="0.2">
      <c r="B774" s="104"/>
    </row>
    <row r="775" spans="2:2" ht="12.75" x14ac:dyDescent="0.2">
      <c r="B775" s="104"/>
    </row>
    <row r="776" spans="2:2" ht="12.75" x14ac:dyDescent="0.2">
      <c r="B776" s="104"/>
    </row>
    <row r="777" spans="2:2" ht="12.75" x14ac:dyDescent="0.2">
      <c r="B777" s="104"/>
    </row>
    <row r="778" spans="2:2" ht="12.75" x14ac:dyDescent="0.2">
      <c r="B778" s="104"/>
    </row>
    <row r="779" spans="2:2" ht="12.75" x14ac:dyDescent="0.2">
      <c r="B779" s="104"/>
    </row>
    <row r="780" spans="2:2" ht="12.75" x14ac:dyDescent="0.2">
      <c r="B780" s="104"/>
    </row>
    <row r="781" spans="2:2" ht="12.75" x14ac:dyDescent="0.2">
      <c r="B781" s="104"/>
    </row>
    <row r="782" spans="2:2" ht="12.75" x14ac:dyDescent="0.2">
      <c r="B782" s="104"/>
    </row>
    <row r="783" spans="2:2" ht="12.75" x14ac:dyDescent="0.2">
      <c r="B783" s="104"/>
    </row>
    <row r="784" spans="2:2" ht="12.75" x14ac:dyDescent="0.2">
      <c r="B784" s="104"/>
    </row>
    <row r="785" spans="2:2" ht="12.75" x14ac:dyDescent="0.2">
      <c r="B785" s="104"/>
    </row>
    <row r="786" spans="2:2" ht="12.75" x14ac:dyDescent="0.2">
      <c r="B786" s="104"/>
    </row>
    <row r="787" spans="2:2" ht="12.75" x14ac:dyDescent="0.2">
      <c r="B787" s="104"/>
    </row>
    <row r="788" spans="2:2" ht="12.75" x14ac:dyDescent="0.2">
      <c r="B788" s="104"/>
    </row>
    <row r="789" spans="2:2" ht="12.75" x14ac:dyDescent="0.2">
      <c r="B789" s="104"/>
    </row>
    <row r="790" spans="2:2" ht="12.75" x14ac:dyDescent="0.2">
      <c r="B790" s="104"/>
    </row>
    <row r="791" spans="2:2" ht="12.75" x14ac:dyDescent="0.2">
      <c r="B791" s="104"/>
    </row>
    <row r="792" spans="2:2" ht="12.75" x14ac:dyDescent="0.2">
      <c r="B792" s="104"/>
    </row>
    <row r="793" spans="2:2" ht="12.75" x14ac:dyDescent="0.2">
      <c r="B793" s="104"/>
    </row>
    <row r="794" spans="2:2" ht="12.75" x14ac:dyDescent="0.2">
      <c r="B794" s="104"/>
    </row>
    <row r="795" spans="2:2" ht="12.75" x14ac:dyDescent="0.2">
      <c r="B795" s="104"/>
    </row>
    <row r="796" spans="2:2" ht="12.75" x14ac:dyDescent="0.2">
      <c r="B796" s="104"/>
    </row>
    <row r="797" spans="2:2" ht="12.75" x14ac:dyDescent="0.2">
      <c r="B797" s="104"/>
    </row>
    <row r="798" spans="2:2" ht="12.75" x14ac:dyDescent="0.2">
      <c r="B798" s="104"/>
    </row>
    <row r="799" spans="2:2" ht="12.75" x14ac:dyDescent="0.2">
      <c r="B799" s="104"/>
    </row>
    <row r="800" spans="2:2" ht="12.75" x14ac:dyDescent="0.2">
      <c r="B800" s="104"/>
    </row>
    <row r="801" spans="2:2" ht="12.75" x14ac:dyDescent="0.2">
      <c r="B801" s="104"/>
    </row>
    <row r="802" spans="2:2" ht="12.75" x14ac:dyDescent="0.2">
      <c r="B802" s="104"/>
    </row>
    <row r="803" spans="2:2" ht="12.75" x14ac:dyDescent="0.2">
      <c r="B803" s="104"/>
    </row>
    <row r="804" spans="2:2" ht="12.75" x14ac:dyDescent="0.2">
      <c r="B804" s="104"/>
    </row>
    <row r="805" spans="2:2" ht="12.75" x14ac:dyDescent="0.2">
      <c r="B805" s="104"/>
    </row>
    <row r="806" spans="2:2" ht="12.75" x14ac:dyDescent="0.2">
      <c r="B806" s="104"/>
    </row>
    <row r="807" spans="2:2" ht="12.75" x14ac:dyDescent="0.2">
      <c r="B807" s="104"/>
    </row>
    <row r="808" spans="2:2" ht="12.75" x14ac:dyDescent="0.2">
      <c r="B808" s="104"/>
    </row>
    <row r="809" spans="2:2" ht="12.75" x14ac:dyDescent="0.2">
      <c r="B809" s="104"/>
    </row>
    <row r="810" spans="2:2" ht="12.75" x14ac:dyDescent="0.2">
      <c r="B810" s="104"/>
    </row>
    <row r="811" spans="2:2" ht="12.75" x14ac:dyDescent="0.2">
      <c r="B811" s="104"/>
    </row>
    <row r="812" spans="2:2" ht="12.75" x14ac:dyDescent="0.2">
      <c r="B812" s="104"/>
    </row>
    <row r="813" spans="2:2" ht="12.75" x14ac:dyDescent="0.2">
      <c r="B813" s="104"/>
    </row>
    <row r="814" spans="2:2" ht="12.75" x14ac:dyDescent="0.2">
      <c r="B814" s="104"/>
    </row>
    <row r="815" spans="2:2" ht="12.75" x14ac:dyDescent="0.2">
      <c r="B815" s="104"/>
    </row>
    <row r="816" spans="2:2" ht="12.75" x14ac:dyDescent="0.2">
      <c r="B816" s="104"/>
    </row>
    <row r="817" spans="2:2" ht="12.75" x14ac:dyDescent="0.2">
      <c r="B817" s="104"/>
    </row>
    <row r="818" spans="2:2" ht="12.75" x14ac:dyDescent="0.2">
      <c r="B818" s="104"/>
    </row>
    <row r="819" spans="2:2" ht="12.75" x14ac:dyDescent="0.2">
      <c r="B819" s="104"/>
    </row>
    <row r="820" spans="2:2" ht="12.75" x14ac:dyDescent="0.2">
      <c r="B820" s="104"/>
    </row>
    <row r="821" spans="2:2" ht="12.75" x14ac:dyDescent="0.2">
      <c r="B821" s="104"/>
    </row>
    <row r="822" spans="2:2" ht="12.75" x14ac:dyDescent="0.2">
      <c r="B822" s="104"/>
    </row>
    <row r="823" spans="2:2" ht="12.75" x14ac:dyDescent="0.2">
      <c r="B823" s="104"/>
    </row>
    <row r="824" spans="2:2" ht="12.75" x14ac:dyDescent="0.2">
      <c r="B824" s="104"/>
    </row>
    <row r="825" spans="2:2" ht="12.75" x14ac:dyDescent="0.2">
      <c r="B825" s="104"/>
    </row>
    <row r="826" spans="2:2" ht="12.75" x14ac:dyDescent="0.2">
      <c r="B826" s="104"/>
    </row>
    <row r="827" spans="2:2" ht="12.75" x14ac:dyDescent="0.2">
      <c r="B827" s="104"/>
    </row>
    <row r="828" spans="2:2" ht="12.75" x14ac:dyDescent="0.2">
      <c r="B828" s="104"/>
    </row>
    <row r="829" spans="2:2" ht="12.75" x14ac:dyDescent="0.2">
      <c r="B829" s="104"/>
    </row>
    <row r="830" spans="2:2" ht="12.75" x14ac:dyDescent="0.2">
      <c r="B830" s="104"/>
    </row>
    <row r="831" spans="2:2" ht="12.75" x14ac:dyDescent="0.2">
      <c r="B831" s="104"/>
    </row>
    <row r="832" spans="2:2" ht="12.75" x14ac:dyDescent="0.2">
      <c r="B832" s="104"/>
    </row>
    <row r="833" spans="2:2" ht="12.75" x14ac:dyDescent="0.2">
      <c r="B833" s="104"/>
    </row>
    <row r="834" spans="2:2" ht="12.75" x14ac:dyDescent="0.2">
      <c r="B834" s="104"/>
    </row>
    <row r="835" spans="2:2" ht="12.75" x14ac:dyDescent="0.2">
      <c r="B835" s="104"/>
    </row>
    <row r="836" spans="2:2" ht="12.75" x14ac:dyDescent="0.2">
      <c r="B836" s="104"/>
    </row>
    <row r="837" spans="2:2" ht="12.75" x14ac:dyDescent="0.2">
      <c r="B837" s="104"/>
    </row>
    <row r="838" spans="2:2" ht="12.75" x14ac:dyDescent="0.2">
      <c r="B838" s="104"/>
    </row>
    <row r="839" spans="2:2" ht="12.75" x14ac:dyDescent="0.2">
      <c r="B839" s="104"/>
    </row>
    <row r="840" spans="2:2" ht="12.75" x14ac:dyDescent="0.2">
      <c r="B840" s="104"/>
    </row>
    <row r="841" spans="2:2" ht="12.75" x14ac:dyDescent="0.2">
      <c r="B841" s="104"/>
    </row>
    <row r="842" spans="2:2" ht="12.75" x14ac:dyDescent="0.2">
      <c r="B842" s="104"/>
    </row>
    <row r="843" spans="2:2" ht="12.75" x14ac:dyDescent="0.2">
      <c r="B843" s="104"/>
    </row>
    <row r="844" spans="2:2" ht="12.75" x14ac:dyDescent="0.2">
      <c r="B844" s="104"/>
    </row>
    <row r="845" spans="2:2" ht="12.75" x14ac:dyDescent="0.2">
      <c r="B845" s="104"/>
    </row>
    <row r="846" spans="2:2" ht="12.75" x14ac:dyDescent="0.2">
      <c r="B846" s="104"/>
    </row>
    <row r="847" spans="2:2" ht="12.75" x14ac:dyDescent="0.2">
      <c r="B847" s="104"/>
    </row>
    <row r="848" spans="2:2" ht="12.75" x14ac:dyDescent="0.2">
      <c r="B848" s="104"/>
    </row>
    <row r="849" spans="2:2" ht="12.75" x14ac:dyDescent="0.2">
      <c r="B849" s="104"/>
    </row>
    <row r="850" spans="2:2" ht="12.75" x14ac:dyDescent="0.2">
      <c r="B850" s="104"/>
    </row>
    <row r="851" spans="2:2" ht="12.75" x14ac:dyDescent="0.2">
      <c r="B851" s="104"/>
    </row>
    <row r="852" spans="2:2" ht="12.75" x14ac:dyDescent="0.2">
      <c r="B852" s="104"/>
    </row>
    <row r="853" spans="2:2" ht="12.75" x14ac:dyDescent="0.2">
      <c r="B853" s="104"/>
    </row>
    <row r="854" spans="2:2" ht="12.75" x14ac:dyDescent="0.2">
      <c r="B854" s="104"/>
    </row>
    <row r="855" spans="2:2" ht="12.75" x14ac:dyDescent="0.2">
      <c r="B855" s="104"/>
    </row>
    <row r="856" spans="2:2" ht="12.75" x14ac:dyDescent="0.2">
      <c r="B856" s="104"/>
    </row>
    <row r="857" spans="2:2" ht="12.75" x14ac:dyDescent="0.2">
      <c r="B857" s="104"/>
    </row>
    <row r="858" spans="2:2" ht="12.75" x14ac:dyDescent="0.2">
      <c r="B858" s="104"/>
    </row>
    <row r="859" spans="2:2" ht="12.75" x14ac:dyDescent="0.2">
      <c r="B859" s="104"/>
    </row>
    <row r="860" spans="2:2" ht="12.75" x14ac:dyDescent="0.2">
      <c r="B860" s="104"/>
    </row>
    <row r="861" spans="2:2" ht="12.75" x14ac:dyDescent="0.2">
      <c r="B861" s="104"/>
    </row>
    <row r="862" spans="2:2" ht="12.75" x14ac:dyDescent="0.2">
      <c r="B862" s="104"/>
    </row>
    <row r="863" spans="2:2" ht="12.75" x14ac:dyDescent="0.2">
      <c r="B863" s="104"/>
    </row>
    <row r="864" spans="2:2" ht="12.75" x14ac:dyDescent="0.2">
      <c r="B864" s="104"/>
    </row>
    <row r="865" spans="2:2" ht="12.75" x14ac:dyDescent="0.2">
      <c r="B865" s="104"/>
    </row>
    <row r="866" spans="2:2" ht="12.75" x14ac:dyDescent="0.2">
      <c r="B866" s="104"/>
    </row>
    <row r="867" spans="2:2" ht="12.75" x14ac:dyDescent="0.2">
      <c r="B867" s="104"/>
    </row>
    <row r="868" spans="2:2" ht="12.75" x14ac:dyDescent="0.2">
      <c r="B868" s="104"/>
    </row>
    <row r="869" spans="2:2" ht="12.75" x14ac:dyDescent="0.2">
      <c r="B869" s="104"/>
    </row>
    <row r="870" spans="2:2" ht="12.75" x14ac:dyDescent="0.2">
      <c r="B870" s="104"/>
    </row>
    <row r="871" spans="2:2" ht="12.75" x14ac:dyDescent="0.2">
      <c r="B871" s="104"/>
    </row>
    <row r="872" spans="2:2" ht="12.75" x14ac:dyDescent="0.2">
      <c r="B872" s="104"/>
    </row>
    <row r="873" spans="2:2" ht="12.75" x14ac:dyDescent="0.2">
      <c r="B873" s="104"/>
    </row>
    <row r="874" spans="2:2" ht="12.75" x14ac:dyDescent="0.2">
      <c r="B874" s="104"/>
    </row>
    <row r="875" spans="2:2" ht="12.75" x14ac:dyDescent="0.2">
      <c r="B875" s="104"/>
    </row>
    <row r="876" spans="2:2" ht="12.75" x14ac:dyDescent="0.2">
      <c r="B876" s="104"/>
    </row>
    <row r="877" spans="2:2" ht="12.75" x14ac:dyDescent="0.2">
      <c r="B877" s="104"/>
    </row>
    <row r="878" spans="2:2" ht="12.75" x14ac:dyDescent="0.2">
      <c r="B878" s="104"/>
    </row>
    <row r="879" spans="2:2" ht="12.75" x14ac:dyDescent="0.2">
      <c r="B879" s="104"/>
    </row>
    <row r="880" spans="2:2" ht="12.75" x14ac:dyDescent="0.2">
      <c r="B880" s="104"/>
    </row>
    <row r="881" spans="2:2" ht="12.75" x14ac:dyDescent="0.2">
      <c r="B881" s="104"/>
    </row>
    <row r="882" spans="2:2" ht="12.75" x14ac:dyDescent="0.2">
      <c r="B882" s="104"/>
    </row>
    <row r="883" spans="2:2" ht="12.75" x14ac:dyDescent="0.2">
      <c r="B883" s="104"/>
    </row>
    <row r="884" spans="2:2" ht="12.75" x14ac:dyDescent="0.2">
      <c r="B884" s="104"/>
    </row>
    <row r="885" spans="2:2" ht="12.75" x14ac:dyDescent="0.2">
      <c r="B885" s="104"/>
    </row>
    <row r="886" spans="2:2" ht="12.75" x14ac:dyDescent="0.2">
      <c r="B886" s="104"/>
    </row>
    <row r="887" spans="2:2" ht="12.75" x14ac:dyDescent="0.2">
      <c r="B887" s="104"/>
    </row>
    <row r="888" spans="2:2" ht="12.75" x14ac:dyDescent="0.2">
      <c r="B888" s="104"/>
    </row>
    <row r="889" spans="2:2" ht="12.75" x14ac:dyDescent="0.2">
      <c r="B889" s="104"/>
    </row>
    <row r="890" spans="2:2" ht="12.75" x14ac:dyDescent="0.2">
      <c r="B890" s="104"/>
    </row>
    <row r="891" spans="2:2" ht="12.75" x14ac:dyDescent="0.2">
      <c r="B891" s="104"/>
    </row>
    <row r="892" spans="2:2" ht="12.75" x14ac:dyDescent="0.2">
      <c r="B892" s="104"/>
    </row>
    <row r="893" spans="2:2" ht="12.75" x14ac:dyDescent="0.2">
      <c r="B893" s="104"/>
    </row>
    <row r="894" spans="2:2" ht="12.75" x14ac:dyDescent="0.2">
      <c r="B894" s="104"/>
    </row>
    <row r="895" spans="2:2" ht="12.75" x14ac:dyDescent="0.2">
      <c r="B895" s="104"/>
    </row>
    <row r="896" spans="2:2" ht="12.75" x14ac:dyDescent="0.2">
      <c r="B896" s="104"/>
    </row>
    <row r="897" spans="2:2" ht="12.75" x14ac:dyDescent="0.2">
      <c r="B897" s="104"/>
    </row>
    <row r="898" spans="2:2" ht="12.75" x14ac:dyDescent="0.2">
      <c r="B898" s="104"/>
    </row>
    <row r="899" spans="2:2" ht="12.75" x14ac:dyDescent="0.2">
      <c r="B899" s="104"/>
    </row>
    <row r="900" spans="2:2" ht="12.75" x14ac:dyDescent="0.2">
      <c r="B900" s="104"/>
    </row>
    <row r="901" spans="2:2" ht="12.75" x14ac:dyDescent="0.2">
      <c r="B901" s="104"/>
    </row>
    <row r="902" spans="2:2" ht="12.75" x14ac:dyDescent="0.2">
      <c r="B902" s="104"/>
    </row>
    <row r="903" spans="2:2" ht="12.75" x14ac:dyDescent="0.2">
      <c r="B903" s="104"/>
    </row>
    <row r="904" spans="2:2" ht="12.75" x14ac:dyDescent="0.2">
      <c r="B904" s="104"/>
    </row>
    <row r="905" spans="2:2" ht="12.75" x14ac:dyDescent="0.2">
      <c r="B905" s="104"/>
    </row>
    <row r="906" spans="2:2" ht="12.75" x14ac:dyDescent="0.2">
      <c r="B906" s="104"/>
    </row>
    <row r="907" spans="2:2" ht="12.75" x14ac:dyDescent="0.2">
      <c r="B907" s="104"/>
    </row>
    <row r="908" spans="2:2" ht="12.75" x14ac:dyDescent="0.2">
      <c r="B908" s="104"/>
    </row>
    <row r="909" spans="2:2" ht="12.75" x14ac:dyDescent="0.2">
      <c r="B909" s="104"/>
    </row>
    <row r="910" spans="2:2" ht="12.75" x14ac:dyDescent="0.2">
      <c r="B910" s="104"/>
    </row>
    <row r="911" spans="2:2" ht="12.75" x14ac:dyDescent="0.2">
      <c r="B911" s="104"/>
    </row>
    <row r="912" spans="2:2" ht="12.75" x14ac:dyDescent="0.2">
      <c r="B912" s="104"/>
    </row>
    <row r="913" spans="2:2" ht="12.75" x14ac:dyDescent="0.2">
      <c r="B913" s="104"/>
    </row>
    <row r="914" spans="2:2" ht="12.75" x14ac:dyDescent="0.2">
      <c r="B914" s="104"/>
    </row>
    <row r="915" spans="2:2" ht="12.75" x14ac:dyDescent="0.2">
      <c r="B915" s="104"/>
    </row>
    <row r="916" spans="2:2" ht="12.75" x14ac:dyDescent="0.2">
      <c r="B916" s="104"/>
    </row>
    <row r="917" spans="2:2" ht="12.75" x14ac:dyDescent="0.2">
      <c r="B917" s="104"/>
    </row>
    <row r="918" spans="2:2" ht="12.75" x14ac:dyDescent="0.2">
      <c r="B918" s="104"/>
    </row>
    <row r="919" spans="2:2" ht="12.75" x14ac:dyDescent="0.2">
      <c r="B919" s="104"/>
    </row>
    <row r="920" spans="2:2" ht="12.75" x14ac:dyDescent="0.2">
      <c r="B920" s="104"/>
    </row>
    <row r="921" spans="2:2" ht="12.75" x14ac:dyDescent="0.2">
      <c r="B921" s="104"/>
    </row>
    <row r="922" spans="2:2" ht="12.75" x14ac:dyDescent="0.2">
      <c r="B922" s="104"/>
    </row>
    <row r="923" spans="2:2" ht="12.75" x14ac:dyDescent="0.2">
      <c r="B923" s="104"/>
    </row>
    <row r="924" spans="2:2" ht="12.75" x14ac:dyDescent="0.2">
      <c r="B924" s="104"/>
    </row>
    <row r="925" spans="2:2" ht="12.75" x14ac:dyDescent="0.2">
      <c r="B925" s="104"/>
    </row>
    <row r="926" spans="2:2" ht="12.75" x14ac:dyDescent="0.2">
      <c r="B926" s="104"/>
    </row>
    <row r="927" spans="2:2" ht="12.75" x14ac:dyDescent="0.2">
      <c r="B927" s="104"/>
    </row>
    <row r="928" spans="2:2" ht="12.75" x14ac:dyDescent="0.2">
      <c r="B928" s="104"/>
    </row>
    <row r="929" spans="2:2" ht="12.75" x14ac:dyDescent="0.2">
      <c r="B929" s="104"/>
    </row>
    <row r="930" spans="2:2" ht="12.75" x14ac:dyDescent="0.2">
      <c r="B930" s="104"/>
    </row>
    <row r="931" spans="2:2" ht="12.75" x14ac:dyDescent="0.2">
      <c r="B931" s="104"/>
    </row>
    <row r="932" spans="2:2" ht="12.75" x14ac:dyDescent="0.2">
      <c r="B932" s="104"/>
    </row>
    <row r="933" spans="2:2" ht="12.75" x14ac:dyDescent="0.2">
      <c r="B933" s="104"/>
    </row>
    <row r="934" spans="2:2" ht="12.75" x14ac:dyDescent="0.2">
      <c r="B934" s="104"/>
    </row>
    <row r="935" spans="2:2" ht="12.75" x14ac:dyDescent="0.2">
      <c r="B935" s="104"/>
    </row>
    <row r="936" spans="2:2" ht="12.75" x14ac:dyDescent="0.2">
      <c r="B936" s="104"/>
    </row>
    <row r="937" spans="2:2" ht="12.75" x14ac:dyDescent="0.2">
      <c r="B937" s="104"/>
    </row>
    <row r="938" spans="2:2" ht="12.75" x14ac:dyDescent="0.2">
      <c r="B938" s="104"/>
    </row>
    <row r="939" spans="2:2" ht="12.75" x14ac:dyDescent="0.2">
      <c r="B939" s="104"/>
    </row>
    <row r="940" spans="2:2" ht="12.75" x14ac:dyDescent="0.2">
      <c r="B940" s="104"/>
    </row>
    <row r="941" spans="2:2" ht="12.75" x14ac:dyDescent="0.2">
      <c r="B941" s="104"/>
    </row>
    <row r="942" spans="2:2" ht="12.75" x14ac:dyDescent="0.2">
      <c r="B942" s="104"/>
    </row>
    <row r="943" spans="2:2" ht="12.75" x14ac:dyDescent="0.2">
      <c r="B943" s="104"/>
    </row>
    <row r="944" spans="2:2" ht="12.75" x14ac:dyDescent="0.2">
      <c r="B944" s="104"/>
    </row>
    <row r="945" spans="2:2" ht="12.75" x14ac:dyDescent="0.2">
      <c r="B945" s="104"/>
    </row>
    <row r="946" spans="2:2" ht="12.75" x14ac:dyDescent="0.2">
      <c r="B946" s="104"/>
    </row>
    <row r="947" spans="2:2" ht="12.75" x14ac:dyDescent="0.2">
      <c r="B947" s="104"/>
    </row>
    <row r="948" spans="2:2" ht="12.75" x14ac:dyDescent="0.2">
      <c r="B948" s="104"/>
    </row>
    <row r="949" spans="2:2" ht="12.75" x14ac:dyDescent="0.2">
      <c r="B949" s="104"/>
    </row>
    <row r="950" spans="2:2" ht="12.75" x14ac:dyDescent="0.2">
      <c r="B950" s="104"/>
    </row>
    <row r="951" spans="2:2" ht="12.75" x14ac:dyDescent="0.2">
      <c r="B951" s="104"/>
    </row>
    <row r="952" spans="2:2" ht="12.75" x14ac:dyDescent="0.2">
      <c r="B952" s="104"/>
    </row>
    <row r="953" spans="2:2" ht="12.75" x14ac:dyDescent="0.2">
      <c r="B953" s="104"/>
    </row>
    <row r="954" spans="2:2" ht="12.75" x14ac:dyDescent="0.2">
      <c r="B954" s="104"/>
    </row>
    <row r="955" spans="2:2" ht="12.75" x14ac:dyDescent="0.2">
      <c r="B955" s="104"/>
    </row>
    <row r="956" spans="2:2" ht="12.75" x14ac:dyDescent="0.2">
      <c r="B956" s="104"/>
    </row>
    <row r="957" spans="2:2" ht="12.75" x14ac:dyDescent="0.2">
      <c r="B957" s="104"/>
    </row>
    <row r="958" spans="2:2" ht="12.75" x14ac:dyDescent="0.2">
      <c r="B958" s="104"/>
    </row>
    <row r="959" spans="2:2" ht="12.75" x14ac:dyDescent="0.2">
      <c r="B959" s="104"/>
    </row>
    <row r="960" spans="2:2" ht="12.75" x14ac:dyDescent="0.2">
      <c r="B960" s="104"/>
    </row>
    <row r="961" spans="2:2" ht="12.75" x14ac:dyDescent="0.2">
      <c r="B961" s="104"/>
    </row>
    <row r="962" spans="2:2" ht="12.75" x14ac:dyDescent="0.2">
      <c r="B962" s="104"/>
    </row>
    <row r="963" spans="2:2" ht="12.75" x14ac:dyDescent="0.2">
      <c r="B963" s="104"/>
    </row>
    <row r="964" spans="2:2" ht="12.75" x14ac:dyDescent="0.2">
      <c r="B964" s="104"/>
    </row>
    <row r="965" spans="2:2" ht="12.75" x14ac:dyDescent="0.2">
      <c r="B965" s="104"/>
    </row>
    <row r="966" spans="2:2" ht="12.75" x14ac:dyDescent="0.2">
      <c r="B966" s="104"/>
    </row>
    <row r="967" spans="2:2" ht="12.75" x14ac:dyDescent="0.2">
      <c r="B967" s="104"/>
    </row>
    <row r="968" spans="2:2" ht="12.75" x14ac:dyDescent="0.2">
      <c r="B968" s="104"/>
    </row>
    <row r="969" spans="2:2" ht="12.75" x14ac:dyDescent="0.2">
      <c r="B969" s="104"/>
    </row>
    <row r="970" spans="2:2" ht="12.75" x14ac:dyDescent="0.2">
      <c r="B970" s="104"/>
    </row>
    <row r="971" spans="2:2" ht="12.75" x14ac:dyDescent="0.2">
      <c r="B971" s="104"/>
    </row>
    <row r="972" spans="2:2" ht="12.75" x14ac:dyDescent="0.2">
      <c r="B972" s="104"/>
    </row>
    <row r="973" spans="2:2" ht="12.75" x14ac:dyDescent="0.2">
      <c r="B973" s="104"/>
    </row>
    <row r="974" spans="2:2" ht="12.75" x14ac:dyDescent="0.2">
      <c r="B974" s="104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P1032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5703125" defaultRowHeight="15.75" customHeight="1" x14ac:dyDescent="0.2"/>
  <cols>
    <col min="1" max="1" width="6.5703125" customWidth="1"/>
    <col min="2" max="2" width="34.42578125" customWidth="1"/>
    <col min="3" max="3" width="42.140625" customWidth="1"/>
    <col min="4" max="4" width="34.42578125" customWidth="1"/>
    <col min="5" max="5" width="26" customWidth="1"/>
    <col min="6" max="6" width="30.42578125" customWidth="1"/>
    <col min="7" max="7" width="31.7109375" customWidth="1"/>
    <col min="8" max="8" width="44" customWidth="1"/>
    <col min="9" max="9" width="26" customWidth="1"/>
    <col min="10" max="11" width="21" customWidth="1"/>
    <col min="12" max="12" width="39.42578125" customWidth="1"/>
    <col min="13" max="13" width="26" customWidth="1"/>
    <col min="14" max="14" width="36" customWidth="1"/>
    <col min="15" max="15" width="31.42578125" customWidth="1"/>
    <col min="16" max="16" width="47.140625" customWidth="1"/>
  </cols>
  <sheetData>
    <row r="1" spans="1:16" x14ac:dyDescent="0.2">
      <c r="A1" s="217" t="s">
        <v>13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9"/>
    </row>
    <row r="2" spans="1:16" x14ac:dyDescent="0.2">
      <c r="A2" s="220" t="s">
        <v>6</v>
      </c>
      <c r="B2" s="221"/>
      <c r="C2" s="224" t="s">
        <v>7</v>
      </c>
      <c r="D2" s="217" t="s">
        <v>21</v>
      </c>
      <c r="E2" s="218"/>
      <c r="F2" s="218"/>
      <c r="G2" s="219"/>
      <c r="H2" s="217" t="s">
        <v>27</v>
      </c>
      <c r="I2" s="218"/>
      <c r="J2" s="219"/>
      <c r="K2" s="111"/>
      <c r="L2" s="217" t="s">
        <v>28</v>
      </c>
      <c r="M2" s="218"/>
      <c r="N2" s="218"/>
      <c r="O2" s="218"/>
      <c r="P2" s="219"/>
    </row>
    <row r="3" spans="1:16" x14ac:dyDescent="0.2">
      <c r="A3" s="222"/>
      <c r="B3" s="223"/>
      <c r="C3" s="225"/>
      <c r="D3" s="111" t="s">
        <v>30</v>
      </c>
      <c r="E3" s="111" t="s">
        <v>31</v>
      </c>
      <c r="F3" s="111" t="s">
        <v>32</v>
      </c>
      <c r="G3" s="111" t="s">
        <v>33</v>
      </c>
      <c r="H3" s="111" t="s">
        <v>30</v>
      </c>
      <c r="I3" s="111" t="s">
        <v>31</v>
      </c>
      <c r="J3" s="111" t="s">
        <v>318</v>
      </c>
      <c r="K3" s="111" t="s">
        <v>319</v>
      </c>
      <c r="L3" s="111" t="s">
        <v>37</v>
      </c>
      <c r="M3" s="111" t="s">
        <v>31</v>
      </c>
      <c r="N3" s="111" t="s">
        <v>39</v>
      </c>
      <c r="O3" s="111" t="s">
        <v>40</v>
      </c>
      <c r="P3" s="111" t="s">
        <v>320</v>
      </c>
    </row>
    <row r="4" spans="1:16" x14ac:dyDescent="0.2">
      <c r="A4" s="112">
        <v>1</v>
      </c>
      <c r="B4" s="112" t="s">
        <v>41</v>
      </c>
      <c r="C4" s="112">
        <v>18</v>
      </c>
      <c r="D4" s="113" t="s">
        <v>321</v>
      </c>
      <c r="E4" s="112">
        <v>1</v>
      </c>
      <c r="F4" s="115">
        <v>4233</v>
      </c>
      <c r="G4" s="115">
        <v>464</v>
      </c>
      <c r="H4" s="112" t="s">
        <v>324</v>
      </c>
      <c r="I4" s="112">
        <f t="shared" ref="I4:I26" si="0">C4</f>
        <v>18</v>
      </c>
      <c r="J4" s="115">
        <v>185.6</v>
      </c>
      <c r="K4" s="115">
        <f t="shared" ref="K4:K48" si="1">I4*J4</f>
        <v>3340.7999999999997</v>
      </c>
      <c r="L4" s="112" t="s">
        <v>80</v>
      </c>
      <c r="M4" s="112">
        <v>1</v>
      </c>
      <c r="N4" s="115">
        <f t="shared" ref="N4:N48" si="2">649</f>
        <v>649</v>
      </c>
      <c r="O4" s="116">
        <v>1600</v>
      </c>
      <c r="P4" s="117" t="s">
        <v>325</v>
      </c>
    </row>
    <row r="5" spans="1:16" x14ac:dyDescent="0.2">
      <c r="A5" s="112">
        <v>2</v>
      </c>
      <c r="B5" s="112" t="s">
        <v>83</v>
      </c>
      <c r="C5" s="112">
        <v>20</v>
      </c>
      <c r="D5" s="113" t="s">
        <v>321</v>
      </c>
      <c r="E5" s="112">
        <v>1</v>
      </c>
      <c r="F5" s="115">
        <v>4233</v>
      </c>
      <c r="G5" s="115">
        <v>464</v>
      </c>
      <c r="H5" s="112" t="s">
        <v>324</v>
      </c>
      <c r="I5" s="112">
        <f t="shared" si="0"/>
        <v>20</v>
      </c>
      <c r="J5" s="115">
        <v>185.6</v>
      </c>
      <c r="K5" s="115">
        <f t="shared" si="1"/>
        <v>3712</v>
      </c>
      <c r="L5" s="112" t="s">
        <v>80</v>
      </c>
      <c r="M5" s="112">
        <v>1</v>
      </c>
      <c r="N5" s="115">
        <f t="shared" si="2"/>
        <v>649</v>
      </c>
      <c r="O5" s="116">
        <v>1600</v>
      </c>
      <c r="P5" s="118">
        <v>46143</v>
      </c>
    </row>
    <row r="6" spans="1:16" x14ac:dyDescent="0.2">
      <c r="A6" s="112">
        <v>3</v>
      </c>
      <c r="B6" s="112" t="s">
        <v>94</v>
      </c>
      <c r="C6" s="112">
        <v>20</v>
      </c>
      <c r="D6" s="113" t="s">
        <v>321</v>
      </c>
      <c r="E6" s="112">
        <v>1</v>
      </c>
      <c r="F6" s="115">
        <v>4233</v>
      </c>
      <c r="G6" s="115">
        <v>464</v>
      </c>
      <c r="H6" s="112" t="s">
        <v>324</v>
      </c>
      <c r="I6" s="112">
        <f t="shared" si="0"/>
        <v>20</v>
      </c>
      <c r="J6" s="115">
        <v>185.6</v>
      </c>
      <c r="K6" s="115">
        <f t="shared" si="1"/>
        <v>3712</v>
      </c>
      <c r="L6" s="112" t="s">
        <v>80</v>
      </c>
      <c r="M6" s="112">
        <v>1</v>
      </c>
      <c r="N6" s="115">
        <f t="shared" si="2"/>
        <v>649</v>
      </c>
      <c r="O6" s="116">
        <v>1600</v>
      </c>
      <c r="P6" s="117" t="s">
        <v>325</v>
      </c>
    </row>
    <row r="7" spans="1:16" x14ac:dyDescent="0.2">
      <c r="A7" s="112">
        <v>4</v>
      </c>
      <c r="B7" s="112" t="s">
        <v>97</v>
      </c>
      <c r="C7" s="112">
        <v>20</v>
      </c>
      <c r="D7" s="113" t="s">
        <v>321</v>
      </c>
      <c r="E7" s="112">
        <v>1</v>
      </c>
      <c r="F7" s="115">
        <v>4233</v>
      </c>
      <c r="G7" s="115">
        <v>464</v>
      </c>
      <c r="H7" s="112" t="s">
        <v>324</v>
      </c>
      <c r="I7" s="112">
        <f t="shared" si="0"/>
        <v>20</v>
      </c>
      <c r="J7" s="115">
        <v>185.6</v>
      </c>
      <c r="K7" s="115">
        <f t="shared" si="1"/>
        <v>3712</v>
      </c>
      <c r="L7" s="112" t="s">
        <v>80</v>
      </c>
      <c r="M7" s="112">
        <v>1</v>
      </c>
      <c r="N7" s="115">
        <f t="shared" si="2"/>
        <v>649</v>
      </c>
      <c r="O7" s="116">
        <v>1600</v>
      </c>
      <c r="P7" s="117" t="s">
        <v>329</v>
      </c>
    </row>
    <row r="8" spans="1:16" x14ac:dyDescent="0.2">
      <c r="A8" s="112">
        <v>5</v>
      </c>
      <c r="B8" s="112" t="s">
        <v>98</v>
      </c>
      <c r="C8" s="112">
        <v>12</v>
      </c>
      <c r="D8" s="113" t="s">
        <v>321</v>
      </c>
      <c r="E8" s="112">
        <v>1</v>
      </c>
      <c r="F8" s="115">
        <v>4233</v>
      </c>
      <c r="G8" s="115">
        <v>464</v>
      </c>
      <c r="H8" s="112" t="s">
        <v>324</v>
      </c>
      <c r="I8" s="112">
        <f t="shared" si="0"/>
        <v>12</v>
      </c>
      <c r="J8" s="115">
        <v>185.6</v>
      </c>
      <c r="K8" s="115">
        <f t="shared" si="1"/>
        <v>2227.1999999999998</v>
      </c>
      <c r="L8" s="112" t="s">
        <v>80</v>
      </c>
      <c r="M8" s="112">
        <v>1</v>
      </c>
      <c r="N8" s="115">
        <f t="shared" si="2"/>
        <v>649</v>
      </c>
      <c r="O8" s="116">
        <v>1600</v>
      </c>
      <c r="P8" s="117" t="s">
        <v>325</v>
      </c>
    </row>
    <row r="9" spans="1:16" x14ac:dyDescent="0.2">
      <c r="A9" s="112">
        <v>6</v>
      </c>
      <c r="B9" s="112" t="s">
        <v>99</v>
      </c>
      <c r="C9" s="112">
        <v>18</v>
      </c>
      <c r="D9" s="113" t="s">
        <v>321</v>
      </c>
      <c r="E9" s="112">
        <v>1</v>
      </c>
      <c r="F9" s="115">
        <v>4233</v>
      </c>
      <c r="G9" s="115">
        <v>464</v>
      </c>
      <c r="H9" s="112" t="s">
        <v>324</v>
      </c>
      <c r="I9" s="112">
        <f t="shared" si="0"/>
        <v>18</v>
      </c>
      <c r="J9" s="115">
        <v>185.6</v>
      </c>
      <c r="K9" s="115">
        <f t="shared" si="1"/>
        <v>3340.7999999999997</v>
      </c>
      <c r="L9" s="112" t="s">
        <v>80</v>
      </c>
      <c r="M9" s="112">
        <v>1</v>
      </c>
      <c r="N9" s="115">
        <f t="shared" si="2"/>
        <v>649</v>
      </c>
      <c r="O9" s="116">
        <v>1600</v>
      </c>
      <c r="P9" s="117" t="s">
        <v>325</v>
      </c>
    </row>
    <row r="10" spans="1:16" x14ac:dyDescent="0.2">
      <c r="A10" s="112">
        <v>7</v>
      </c>
      <c r="B10" s="112" t="s">
        <v>56</v>
      </c>
      <c r="C10" s="112">
        <v>20</v>
      </c>
      <c r="D10" s="113" t="s">
        <v>321</v>
      </c>
      <c r="E10" s="112">
        <v>1</v>
      </c>
      <c r="F10" s="115">
        <v>4233</v>
      </c>
      <c r="G10" s="115">
        <v>464</v>
      </c>
      <c r="H10" s="112" t="s">
        <v>324</v>
      </c>
      <c r="I10" s="112">
        <f t="shared" si="0"/>
        <v>20</v>
      </c>
      <c r="J10" s="115">
        <v>185.6</v>
      </c>
      <c r="K10" s="115">
        <f t="shared" si="1"/>
        <v>3712</v>
      </c>
      <c r="L10" s="112" t="s">
        <v>80</v>
      </c>
      <c r="M10" s="112">
        <v>1</v>
      </c>
      <c r="N10" s="115">
        <f t="shared" si="2"/>
        <v>649</v>
      </c>
      <c r="O10" s="116">
        <v>1600</v>
      </c>
      <c r="P10" s="117" t="s">
        <v>325</v>
      </c>
    </row>
    <row r="11" spans="1:16" x14ac:dyDescent="0.2">
      <c r="A11" s="112">
        <v>8</v>
      </c>
      <c r="B11" s="112" t="s">
        <v>103</v>
      </c>
      <c r="C11" s="112">
        <v>20</v>
      </c>
      <c r="D11" s="113" t="s">
        <v>321</v>
      </c>
      <c r="E11" s="112">
        <v>1</v>
      </c>
      <c r="F11" s="115">
        <v>4233</v>
      </c>
      <c r="G11" s="115">
        <v>464</v>
      </c>
      <c r="H11" s="112" t="s">
        <v>324</v>
      </c>
      <c r="I11" s="112">
        <f t="shared" si="0"/>
        <v>20</v>
      </c>
      <c r="J11" s="115">
        <v>185.6</v>
      </c>
      <c r="K11" s="115">
        <f t="shared" si="1"/>
        <v>3712</v>
      </c>
      <c r="L11" s="112" t="s">
        <v>80</v>
      </c>
      <c r="M11" s="112">
        <v>1</v>
      </c>
      <c r="N11" s="115">
        <f t="shared" si="2"/>
        <v>649</v>
      </c>
      <c r="O11" s="116">
        <v>1600</v>
      </c>
      <c r="P11" s="117" t="s">
        <v>325</v>
      </c>
    </row>
    <row r="12" spans="1:16" x14ac:dyDescent="0.2">
      <c r="A12" s="112">
        <v>9</v>
      </c>
      <c r="B12" s="112" t="s">
        <v>60</v>
      </c>
      <c r="C12" s="112">
        <v>5</v>
      </c>
      <c r="D12" s="113" t="s">
        <v>321</v>
      </c>
      <c r="E12" s="112">
        <v>1</v>
      </c>
      <c r="F12" s="115">
        <v>4233</v>
      </c>
      <c r="G12" s="115">
        <v>464</v>
      </c>
      <c r="H12" s="112" t="s">
        <v>324</v>
      </c>
      <c r="I12" s="112">
        <f t="shared" si="0"/>
        <v>5</v>
      </c>
      <c r="J12" s="115">
        <v>185.6</v>
      </c>
      <c r="K12" s="115">
        <f t="shared" si="1"/>
        <v>928</v>
      </c>
      <c r="L12" s="112" t="s">
        <v>80</v>
      </c>
      <c r="M12" s="112">
        <v>1</v>
      </c>
      <c r="N12" s="115">
        <f t="shared" si="2"/>
        <v>649</v>
      </c>
      <c r="O12" s="116">
        <v>1600</v>
      </c>
      <c r="P12" s="117" t="s">
        <v>325</v>
      </c>
    </row>
    <row r="13" spans="1:16" x14ac:dyDescent="0.2">
      <c r="A13" s="112">
        <v>10</v>
      </c>
      <c r="B13" s="112" t="s">
        <v>78</v>
      </c>
      <c r="C13" s="112">
        <v>20</v>
      </c>
      <c r="D13" s="113" t="s">
        <v>321</v>
      </c>
      <c r="E13" s="112">
        <v>1</v>
      </c>
      <c r="F13" s="115">
        <v>4233</v>
      </c>
      <c r="G13" s="115">
        <v>464</v>
      </c>
      <c r="H13" s="112" t="s">
        <v>324</v>
      </c>
      <c r="I13" s="112">
        <f t="shared" si="0"/>
        <v>20</v>
      </c>
      <c r="J13" s="115">
        <v>185.6</v>
      </c>
      <c r="K13" s="115">
        <f t="shared" si="1"/>
        <v>3712</v>
      </c>
      <c r="L13" s="112" t="s">
        <v>80</v>
      </c>
      <c r="M13" s="112">
        <v>1</v>
      </c>
      <c r="N13" s="115">
        <f t="shared" si="2"/>
        <v>649</v>
      </c>
      <c r="O13" s="116">
        <v>1600</v>
      </c>
      <c r="P13" s="117" t="s">
        <v>325</v>
      </c>
    </row>
    <row r="14" spans="1:16" x14ac:dyDescent="0.2">
      <c r="A14" s="112">
        <v>11</v>
      </c>
      <c r="B14" s="112" t="s">
        <v>108</v>
      </c>
      <c r="C14" s="112">
        <v>10</v>
      </c>
      <c r="D14" s="113" t="s">
        <v>321</v>
      </c>
      <c r="E14" s="112">
        <v>1</v>
      </c>
      <c r="F14" s="115">
        <v>4233</v>
      </c>
      <c r="G14" s="115">
        <v>464</v>
      </c>
      <c r="H14" s="112" t="s">
        <v>324</v>
      </c>
      <c r="I14" s="112">
        <f t="shared" si="0"/>
        <v>10</v>
      </c>
      <c r="J14" s="115">
        <v>185.6</v>
      </c>
      <c r="K14" s="115">
        <f t="shared" si="1"/>
        <v>1856</v>
      </c>
      <c r="L14" s="112" t="s">
        <v>80</v>
      </c>
      <c r="M14" s="112">
        <v>1</v>
      </c>
      <c r="N14" s="115">
        <f t="shared" si="2"/>
        <v>649</v>
      </c>
      <c r="O14" s="116">
        <v>1600</v>
      </c>
      <c r="P14" s="117" t="s">
        <v>325</v>
      </c>
    </row>
    <row r="15" spans="1:16" x14ac:dyDescent="0.2">
      <c r="A15" s="112">
        <v>12</v>
      </c>
      <c r="B15" s="112" t="s">
        <v>114</v>
      </c>
      <c r="C15" s="112">
        <v>10</v>
      </c>
      <c r="D15" s="113" t="s">
        <v>321</v>
      </c>
      <c r="E15" s="112">
        <v>1</v>
      </c>
      <c r="F15" s="115">
        <v>4233</v>
      </c>
      <c r="G15" s="115">
        <v>464</v>
      </c>
      <c r="H15" s="112" t="s">
        <v>324</v>
      </c>
      <c r="I15" s="112">
        <f t="shared" si="0"/>
        <v>10</v>
      </c>
      <c r="J15" s="115">
        <v>185.6</v>
      </c>
      <c r="K15" s="115">
        <f t="shared" si="1"/>
        <v>1856</v>
      </c>
      <c r="L15" s="112" t="s">
        <v>80</v>
      </c>
      <c r="M15" s="112">
        <v>1</v>
      </c>
      <c r="N15" s="115">
        <f t="shared" si="2"/>
        <v>649</v>
      </c>
      <c r="O15" s="116">
        <v>1600</v>
      </c>
      <c r="P15" s="117" t="s">
        <v>325</v>
      </c>
    </row>
    <row r="16" spans="1:16" x14ac:dyDescent="0.2">
      <c r="A16" s="112">
        <v>13</v>
      </c>
      <c r="B16" s="112" t="s">
        <v>219</v>
      </c>
      <c r="C16" s="112">
        <v>20</v>
      </c>
      <c r="D16" s="113" t="s">
        <v>321</v>
      </c>
      <c r="E16" s="112">
        <v>1</v>
      </c>
      <c r="F16" s="115">
        <v>4233</v>
      </c>
      <c r="G16" s="115">
        <v>464</v>
      </c>
      <c r="H16" s="112" t="s">
        <v>324</v>
      </c>
      <c r="I16" s="112">
        <f t="shared" si="0"/>
        <v>20</v>
      </c>
      <c r="J16" s="115">
        <v>185.6</v>
      </c>
      <c r="K16" s="115">
        <f t="shared" si="1"/>
        <v>3712</v>
      </c>
      <c r="L16" s="112" t="s">
        <v>80</v>
      </c>
      <c r="M16" s="112">
        <v>1</v>
      </c>
      <c r="N16" s="115">
        <f t="shared" si="2"/>
        <v>649</v>
      </c>
      <c r="O16" s="116">
        <v>1600</v>
      </c>
      <c r="P16" s="117" t="s">
        <v>325</v>
      </c>
    </row>
    <row r="17" spans="1:16" x14ac:dyDescent="0.2">
      <c r="A17" s="112">
        <v>14</v>
      </c>
      <c r="B17" s="112" t="s">
        <v>226</v>
      </c>
      <c r="C17" s="112">
        <v>20</v>
      </c>
      <c r="D17" s="113" t="s">
        <v>321</v>
      </c>
      <c r="E17" s="112">
        <v>1</v>
      </c>
      <c r="F17" s="115">
        <v>4233</v>
      </c>
      <c r="G17" s="115">
        <v>464</v>
      </c>
      <c r="H17" s="112" t="s">
        <v>324</v>
      </c>
      <c r="I17" s="112">
        <f t="shared" si="0"/>
        <v>20</v>
      </c>
      <c r="J17" s="115">
        <v>185.6</v>
      </c>
      <c r="K17" s="115">
        <f t="shared" si="1"/>
        <v>3712</v>
      </c>
      <c r="L17" s="112" t="s">
        <v>80</v>
      </c>
      <c r="M17" s="112">
        <v>1</v>
      </c>
      <c r="N17" s="115">
        <f t="shared" si="2"/>
        <v>649</v>
      </c>
      <c r="O17" s="116">
        <v>1600</v>
      </c>
      <c r="P17" s="117" t="s">
        <v>325</v>
      </c>
    </row>
    <row r="18" spans="1:16" x14ac:dyDescent="0.2">
      <c r="A18" s="112">
        <v>15</v>
      </c>
      <c r="B18" s="112" t="s">
        <v>111</v>
      </c>
      <c r="C18" s="112">
        <v>20</v>
      </c>
      <c r="D18" s="113" t="s">
        <v>321</v>
      </c>
      <c r="E18" s="112">
        <v>1</v>
      </c>
      <c r="F18" s="115">
        <v>4233</v>
      </c>
      <c r="G18" s="115">
        <v>464</v>
      </c>
      <c r="H18" s="112" t="s">
        <v>324</v>
      </c>
      <c r="I18" s="112">
        <f t="shared" si="0"/>
        <v>20</v>
      </c>
      <c r="J18" s="115">
        <v>185.6</v>
      </c>
      <c r="K18" s="115">
        <f t="shared" si="1"/>
        <v>3712</v>
      </c>
      <c r="L18" s="112" t="s">
        <v>80</v>
      </c>
      <c r="M18" s="112">
        <v>1</v>
      </c>
      <c r="N18" s="115">
        <f t="shared" si="2"/>
        <v>649</v>
      </c>
      <c r="O18" s="116">
        <v>1600</v>
      </c>
      <c r="P18" s="117" t="s">
        <v>325</v>
      </c>
    </row>
    <row r="19" spans="1:16" x14ac:dyDescent="0.2">
      <c r="A19" s="112">
        <v>16</v>
      </c>
      <c r="B19" s="112" t="s">
        <v>127</v>
      </c>
      <c r="C19" s="112">
        <v>20</v>
      </c>
      <c r="D19" s="113" t="s">
        <v>321</v>
      </c>
      <c r="E19" s="112">
        <v>1</v>
      </c>
      <c r="F19" s="115">
        <v>4233</v>
      </c>
      <c r="G19" s="115">
        <v>464</v>
      </c>
      <c r="H19" s="112" t="s">
        <v>324</v>
      </c>
      <c r="I19" s="112">
        <f t="shared" si="0"/>
        <v>20</v>
      </c>
      <c r="J19" s="115">
        <v>185.6</v>
      </c>
      <c r="K19" s="115">
        <f t="shared" si="1"/>
        <v>3712</v>
      </c>
      <c r="L19" s="112" t="s">
        <v>80</v>
      </c>
      <c r="M19" s="112">
        <v>1</v>
      </c>
      <c r="N19" s="115">
        <f t="shared" si="2"/>
        <v>649</v>
      </c>
      <c r="O19" s="116">
        <v>1600</v>
      </c>
      <c r="P19" s="117" t="s">
        <v>325</v>
      </c>
    </row>
    <row r="20" spans="1:16" x14ac:dyDescent="0.2">
      <c r="A20" s="112">
        <v>17</v>
      </c>
      <c r="B20" s="112" t="s">
        <v>171</v>
      </c>
      <c r="C20" s="112">
        <v>10</v>
      </c>
      <c r="D20" s="113" t="s">
        <v>321</v>
      </c>
      <c r="E20" s="112">
        <v>1</v>
      </c>
      <c r="F20" s="115">
        <v>4233</v>
      </c>
      <c r="G20" s="115">
        <v>464</v>
      </c>
      <c r="H20" s="112" t="s">
        <v>324</v>
      </c>
      <c r="I20" s="112">
        <f t="shared" si="0"/>
        <v>10</v>
      </c>
      <c r="J20" s="115">
        <v>185.6</v>
      </c>
      <c r="K20" s="115">
        <f t="shared" si="1"/>
        <v>1856</v>
      </c>
      <c r="L20" s="112" t="s">
        <v>80</v>
      </c>
      <c r="M20" s="112">
        <v>1</v>
      </c>
      <c r="N20" s="115">
        <f t="shared" si="2"/>
        <v>649</v>
      </c>
      <c r="O20" s="116">
        <v>1600</v>
      </c>
      <c r="P20" s="117" t="s">
        <v>325</v>
      </c>
    </row>
    <row r="21" spans="1:16" x14ac:dyDescent="0.2">
      <c r="A21" s="112">
        <v>18</v>
      </c>
      <c r="B21" s="112" t="s">
        <v>186</v>
      </c>
      <c r="C21" s="112">
        <v>6</v>
      </c>
      <c r="D21" s="113" t="s">
        <v>321</v>
      </c>
      <c r="E21" s="112">
        <v>1</v>
      </c>
      <c r="F21" s="115">
        <v>4233</v>
      </c>
      <c r="G21" s="115">
        <v>464</v>
      </c>
      <c r="H21" s="112" t="s">
        <v>324</v>
      </c>
      <c r="I21" s="112">
        <f t="shared" si="0"/>
        <v>6</v>
      </c>
      <c r="J21" s="115">
        <v>185.6</v>
      </c>
      <c r="K21" s="115">
        <f t="shared" si="1"/>
        <v>1113.5999999999999</v>
      </c>
      <c r="L21" s="112" t="s">
        <v>80</v>
      </c>
      <c r="M21" s="112">
        <v>1</v>
      </c>
      <c r="N21" s="115">
        <f t="shared" si="2"/>
        <v>649</v>
      </c>
      <c r="O21" s="116">
        <v>1600</v>
      </c>
      <c r="P21" s="117" t="s">
        <v>325</v>
      </c>
    </row>
    <row r="22" spans="1:16" x14ac:dyDescent="0.2">
      <c r="A22" s="112">
        <v>19</v>
      </c>
      <c r="B22" s="112" t="s">
        <v>87</v>
      </c>
      <c r="C22" s="112">
        <v>15</v>
      </c>
      <c r="D22" s="113" t="s">
        <v>321</v>
      </c>
      <c r="E22" s="112">
        <v>1</v>
      </c>
      <c r="F22" s="115">
        <v>4233</v>
      </c>
      <c r="G22" s="115">
        <v>464</v>
      </c>
      <c r="H22" s="112" t="s">
        <v>324</v>
      </c>
      <c r="I22" s="112">
        <f t="shared" si="0"/>
        <v>15</v>
      </c>
      <c r="J22" s="115">
        <v>185.6</v>
      </c>
      <c r="K22" s="115">
        <f t="shared" si="1"/>
        <v>2784</v>
      </c>
      <c r="L22" s="112" t="s">
        <v>80</v>
      </c>
      <c r="M22" s="112">
        <v>1</v>
      </c>
      <c r="N22" s="115">
        <f t="shared" si="2"/>
        <v>649</v>
      </c>
      <c r="O22" s="116">
        <v>1600</v>
      </c>
      <c r="P22" s="118">
        <v>46143</v>
      </c>
    </row>
    <row r="23" spans="1:16" x14ac:dyDescent="0.2">
      <c r="A23" s="112">
        <v>20</v>
      </c>
      <c r="B23" s="112" t="s">
        <v>101</v>
      </c>
      <c r="C23" s="112">
        <v>10</v>
      </c>
      <c r="D23" s="113" t="s">
        <v>321</v>
      </c>
      <c r="E23" s="112">
        <v>1</v>
      </c>
      <c r="F23" s="115">
        <v>4233</v>
      </c>
      <c r="G23" s="115">
        <v>464</v>
      </c>
      <c r="H23" s="112" t="s">
        <v>324</v>
      </c>
      <c r="I23" s="112">
        <f t="shared" si="0"/>
        <v>10</v>
      </c>
      <c r="J23" s="115">
        <v>185.6</v>
      </c>
      <c r="K23" s="115">
        <f t="shared" si="1"/>
        <v>1856</v>
      </c>
      <c r="L23" s="112" t="s">
        <v>80</v>
      </c>
      <c r="M23" s="112">
        <v>1</v>
      </c>
      <c r="N23" s="115">
        <f t="shared" si="2"/>
        <v>649</v>
      </c>
      <c r="O23" s="116">
        <v>1600</v>
      </c>
      <c r="P23" s="118">
        <v>46143</v>
      </c>
    </row>
    <row r="24" spans="1:16" x14ac:dyDescent="0.2">
      <c r="A24" s="112">
        <v>21</v>
      </c>
      <c r="B24" s="112" t="s">
        <v>250</v>
      </c>
      <c r="C24" s="112">
        <v>20</v>
      </c>
      <c r="D24" s="113" t="s">
        <v>321</v>
      </c>
      <c r="E24" s="112">
        <v>1</v>
      </c>
      <c r="F24" s="115">
        <v>4233</v>
      </c>
      <c r="G24" s="115">
        <v>464</v>
      </c>
      <c r="H24" s="112" t="s">
        <v>324</v>
      </c>
      <c r="I24" s="112">
        <f t="shared" si="0"/>
        <v>20</v>
      </c>
      <c r="J24" s="115">
        <v>185.6</v>
      </c>
      <c r="K24" s="115">
        <f t="shared" si="1"/>
        <v>3712</v>
      </c>
      <c r="L24" s="112" t="s">
        <v>80</v>
      </c>
      <c r="M24" s="112">
        <v>1</v>
      </c>
      <c r="N24" s="115">
        <f t="shared" si="2"/>
        <v>649</v>
      </c>
      <c r="O24" s="116">
        <v>1600</v>
      </c>
      <c r="P24" s="117" t="s">
        <v>325</v>
      </c>
    </row>
    <row r="25" spans="1:16" x14ac:dyDescent="0.2">
      <c r="A25" s="112">
        <v>22</v>
      </c>
      <c r="B25" s="112" t="s">
        <v>257</v>
      </c>
      <c r="C25" s="112">
        <v>20</v>
      </c>
      <c r="D25" s="113" t="s">
        <v>321</v>
      </c>
      <c r="E25" s="112">
        <v>1</v>
      </c>
      <c r="F25" s="115">
        <v>4233</v>
      </c>
      <c r="G25" s="115">
        <v>464</v>
      </c>
      <c r="H25" s="112" t="s">
        <v>324</v>
      </c>
      <c r="I25" s="112">
        <f t="shared" si="0"/>
        <v>20</v>
      </c>
      <c r="J25" s="115">
        <v>185.6</v>
      </c>
      <c r="K25" s="115">
        <f t="shared" si="1"/>
        <v>3712</v>
      </c>
      <c r="L25" s="112" t="s">
        <v>80</v>
      </c>
      <c r="M25" s="112">
        <v>1</v>
      </c>
      <c r="N25" s="115">
        <f t="shared" si="2"/>
        <v>649</v>
      </c>
      <c r="O25" s="116">
        <v>1600</v>
      </c>
      <c r="P25" s="117" t="s">
        <v>325</v>
      </c>
    </row>
    <row r="26" spans="1:16" x14ac:dyDescent="0.2">
      <c r="A26" s="112">
        <v>23</v>
      </c>
      <c r="B26" s="112" t="s">
        <v>247</v>
      </c>
      <c r="C26" s="112">
        <v>20</v>
      </c>
      <c r="D26" s="113" t="s">
        <v>321</v>
      </c>
      <c r="E26" s="112">
        <v>1</v>
      </c>
      <c r="F26" s="115">
        <v>4233</v>
      </c>
      <c r="G26" s="115">
        <v>464</v>
      </c>
      <c r="H26" s="112" t="s">
        <v>324</v>
      </c>
      <c r="I26" s="112">
        <f t="shared" si="0"/>
        <v>20</v>
      </c>
      <c r="J26" s="115">
        <v>185.6</v>
      </c>
      <c r="K26" s="115">
        <f t="shared" si="1"/>
        <v>3712</v>
      </c>
      <c r="L26" s="112" t="s">
        <v>80</v>
      </c>
      <c r="M26" s="112">
        <v>1</v>
      </c>
      <c r="N26" s="115">
        <f t="shared" si="2"/>
        <v>649</v>
      </c>
      <c r="O26" s="116">
        <v>1600</v>
      </c>
      <c r="P26" s="117" t="s">
        <v>325</v>
      </c>
    </row>
    <row r="27" spans="1:16" x14ac:dyDescent="0.2">
      <c r="A27" s="112">
        <v>24</v>
      </c>
      <c r="B27" s="112" t="s">
        <v>16</v>
      </c>
      <c r="C27" s="112">
        <v>16</v>
      </c>
      <c r="D27" s="113" t="s">
        <v>321</v>
      </c>
      <c r="E27" s="112">
        <v>1</v>
      </c>
      <c r="F27" s="115">
        <v>4233</v>
      </c>
      <c r="G27" s="115">
        <v>464</v>
      </c>
      <c r="H27" s="112" t="s">
        <v>324</v>
      </c>
      <c r="I27" s="112">
        <v>0</v>
      </c>
      <c r="J27" s="115">
        <v>185.6</v>
      </c>
      <c r="K27" s="115">
        <f t="shared" si="1"/>
        <v>0</v>
      </c>
      <c r="L27" s="112" t="s">
        <v>80</v>
      </c>
      <c r="M27" s="112">
        <v>1</v>
      </c>
      <c r="N27" s="115">
        <f t="shared" si="2"/>
        <v>649</v>
      </c>
      <c r="O27" s="116">
        <v>1600</v>
      </c>
      <c r="P27" s="117" t="s">
        <v>325</v>
      </c>
    </row>
    <row r="28" spans="1:16" x14ac:dyDescent="0.2">
      <c r="A28" s="112">
        <v>25</v>
      </c>
      <c r="B28" s="112" t="s">
        <v>243</v>
      </c>
      <c r="C28" s="112">
        <v>18</v>
      </c>
      <c r="D28" s="113" t="s">
        <v>321</v>
      </c>
      <c r="E28" s="112">
        <v>1</v>
      </c>
      <c r="F28" s="115">
        <v>4233</v>
      </c>
      <c r="G28" s="115">
        <v>464</v>
      </c>
      <c r="H28" s="112" t="s">
        <v>324</v>
      </c>
      <c r="I28" s="112">
        <f t="shared" ref="I28:I48" si="3">C28</f>
        <v>18</v>
      </c>
      <c r="J28" s="115">
        <v>185.6</v>
      </c>
      <c r="K28" s="115">
        <f t="shared" si="1"/>
        <v>3340.7999999999997</v>
      </c>
      <c r="L28" s="112" t="s">
        <v>80</v>
      </c>
      <c r="M28" s="112">
        <v>1</v>
      </c>
      <c r="N28" s="115">
        <f t="shared" si="2"/>
        <v>649</v>
      </c>
      <c r="O28" s="116">
        <v>1600</v>
      </c>
      <c r="P28" s="117" t="s">
        <v>325</v>
      </c>
    </row>
    <row r="29" spans="1:16" x14ac:dyDescent="0.2">
      <c r="A29" s="112">
        <v>26</v>
      </c>
      <c r="B29" s="112" t="s">
        <v>237</v>
      </c>
      <c r="C29" s="112">
        <v>10</v>
      </c>
      <c r="D29" s="113" t="s">
        <v>321</v>
      </c>
      <c r="E29" s="112">
        <v>1</v>
      </c>
      <c r="F29" s="115">
        <v>4233</v>
      </c>
      <c r="G29" s="115">
        <v>464</v>
      </c>
      <c r="H29" s="112" t="s">
        <v>324</v>
      </c>
      <c r="I29" s="112">
        <f t="shared" si="3"/>
        <v>10</v>
      </c>
      <c r="J29" s="115">
        <v>185.6</v>
      </c>
      <c r="K29" s="115">
        <f t="shared" si="1"/>
        <v>1856</v>
      </c>
      <c r="L29" s="112" t="s">
        <v>80</v>
      </c>
      <c r="M29" s="112">
        <v>1</v>
      </c>
      <c r="N29" s="115">
        <f t="shared" si="2"/>
        <v>649</v>
      </c>
      <c r="O29" s="116">
        <v>1600</v>
      </c>
      <c r="P29" s="117" t="s">
        <v>325</v>
      </c>
    </row>
    <row r="30" spans="1:16" x14ac:dyDescent="0.2">
      <c r="A30" s="112">
        <v>27</v>
      </c>
      <c r="B30" s="112" t="s">
        <v>70</v>
      </c>
      <c r="C30" s="112">
        <v>20</v>
      </c>
      <c r="D30" s="113" t="s">
        <v>321</v>
      </c>
      <c r="E30" s="112">
        <v>1</v>
      </c>
      <c r="F30" s="115">
        <v>4233</v>
      </c>
      <c r="G30" s="115">
        <v>464</v>
      </c>
      <c r="H30" s="112" t="s">
        <v>324</v>
      </c>
      <c r="I30" s="112">
        <f t="shared" si="3"/>
        <v>20</v>
      </c>
      <c r="J30" s="115">
        <v>185.6</v>
      </c>
      <c r="K30" s="115">
        <f t="shared" si="1"/>
        <v>3712</v>
      </c>
      <c r="L30" s="112" t="s">
        <v>80</v>
      </c>
      <c r="M30" s="112">
        <v>1</v>
      </c>
      <c r="N30" s="115">
        <f t="shared" si="2"/>
        <v>649</v>
      </c>
      <c r="O30" s="116">
        <v>1600</v>
      </c>
      <c r="P30" s="117" t="s">
        <v>329</v>
      </c>
    </row>
    <row r="31" spans="1:16" x14ac:dyDescent="0.2">
      <c r="A31" s="112">
        <v>28</v>
      </c>
      <c r="B31" s="112" t="s">
        <v>89</v>
      </c>
      <c r="C31" s="112">
        <v>8</v>
      </c>
      <c r="D31" s="113" t="s">
        <v>321</v>
      </c>
      <c r="E31" s="112">
        <v>1</v>
      </c>
      <c r="F31" s="115">
        <v>4233</v>
      </c>
      <c r="G31" s="115">
        <v>464</v>
      </c>
      <c r="H31" s="112" t="s">
        <v>324</v>
      </c>
      <c r="I31" s="112">
        <f t="shared" si="3"/>
        <v>8</v>
      </c>
      <c r="J31" s="115">
        <v>185.6</v>
      </c>
      <c r="K31" s="115">
        <f t="shared" si="1"/>
        <v>1484.8</v>
      </c>
      <c r="L31" s="112" t="s">
        <v>80</v>
      </c>
      <c r="M31" s="112">
        <v>1</v>
      </c>
      <c r="N31" s="115">
        <f t="shared" si="2"/>
        <v>649</v>
      </c>
      <c r="O31" s="116">
        <v>1600</v>
      </c>
      <c r="P31" s="118">
        <v>46143</v>
      </c>
    </row>
    <row r="32" spans="1:16" x14ac:dyDescent="0.2">
      <c r="A32" s="112">
        <v>29</v>
      </c>
      <c r="B32" s="112" t="s">
        <v>105</v>
      </c>
      <c r="C32" s="112">
        <v>4</v>
      </c>
      <c r="D32" s="113" t="s">
        <v>321</v>
      </c>
      <c r="E32" s="112">
        <v>1</v>
      </c>
      <c r="F32" s="115">
        <v>4233</v>
      </c>
      <c r="G32" s="115">
        <v>464</v>
      </c>
      <c r="H32" s="112" t="s">
        <v>324</v>
      </c>
      <c r="I32" s="112">
        <f t="shared" si="3"/>
        <v>4</v>
      </c>
      <c r="J32" s="115">
        <v>185.6</v>
      </c>
      <c r="K32" s="115">
        <f t="shared" si="1"/>
        <v>742.4</v>
      </c>
      <c r="L32" s="112" t="s">
        <v>80</v>
      </c>
      <c r="M32" s="112">
        <v>1</v>
      </c>
      <c r="N32" s="115">
        <f t="shared" si="2"/>
        <v>649</v>
      </c>
      <c r="O32" s="116">
        <v>1600</v>
      </c>
      <c r="P32" s="118">
        <v>46143</v>
      </c>
    </row>
    <row r="33" spans="1:16" x14ac:dyDescent="0.2">
      <c r="A33" s="112">
        <v>30</v>
      </c>
      <c r="B33" s="112" t="s">
        <v>124</v>
      </c>
      <c r="C33" s="112">
        <v>18</v>
      </c>
      <c r="D33" s="113" t="s">
        <v>321</v>
      </c>
      <c r="E33" s="112">
        <v>1</v>
      </c>
      <c r="F33" s="115">
        <v>4233</v>
      </c>
      <c r="G33" s="115">
        <v>464</v>
      </c>
      <c r="H33" s="112" t="s">
        <v>324</v>
      </c>
      <c r="I33" s="112">
        <f t="shared" si="3"/>
        <v>18</v>
      </c>
      <c r="J33" s="115">
        <v>185.6</v>
      </c>
      <c r="K33" s="115">
        <f t="shared" si="1"/>
        <v>3340.7999999999997</v>
      </c>
      <c r="L33" s="112" t="s">
        <v>80</v>
      </c>
      <c r="M33" s="112">
        <v>1</v>
      </c>
      <c r="N33" s="115">
        <f t="shared" si="2"/>
        <v>649</v>
      </c>
      <c r="O33" s="116">
        <v>1600</v>
      </c>
      <c r="P33" s="118">
        <v>46143</v>
      </c>
    </row>
    <row r="34" spans="1:16" x14ac:dyDescent="0.2">
      <c r="A34" s="112">
        <v>31</v>
      </c>
      <c r="B34" s="112" t="s">
        <v>144</v>
      </c>
      <c r="C34" s="112">
        <v>4</v>
      </c>
      <c r="D34" s="113" t="s">
        <v>321</v>
      </c>
      <c r="E34" s="112">
        <v>1</v>
      </c>
      <c r="F34" s="115">
        <v>4233</v>
      </c>
      <c r="G34" s="115">
        <v>464</v>
      </c>
      <c r="H34" s="112" t="s">
        <v>324</v>
      </c>
      <c r="I34" s="112">
        <f t="shared" si="3"/>
        <v>4</v>
      </c>
      <c r="J34" s="115">
        <v>185.6</v>
      </c>
      <c r="K34" s="115">
        <f t="shared" si="1"/>
        <v>742.4</v>
      </c>
      <c r="L34" s="112" t="s">
        <v>80</v>
      </c>
      <c r="M34" s="112">
        <v>1</v>
      </c>
      <c r="N34" s="115">
        <f t="shared" si="2"/>
        <v>649</v>
      </c>
      <c r="O34" s="116">
        <v>1600</v>
      </c>
      <c r="P34" s="118">
        <v>46143</v>
      </c>
    </row>
    <row r="35" spans="1:16" x14ac:dyDescent="0.2">
      <c r="A35" s="112">
        <v>32</v>
      </c>
      <c r="B35" s="112" t="s">
        <v>157</v>
      </c>
      <c r="C35" s="112">
        <v>2</v>
      </c>
      <c r="D35" s="113" t="s">
        <v>321</v>
      </c>
      <c r="E35" s="112">
        <v>1</v>
      </c>
      <c r="F35" s="115">
        <v>4233</v>
      </c>
      <c r="G35" s="115">
        <v>464</v>
      </c>
      <c r="H35" s="112" t="s">
        <v>324</v>
      </c>
      <c r="I35" s="112">
        <f t="shared" si="3"/>
        <v>2</v>
      </c>
      <c r="J35" s="115">
        <v>185.6</v>
      </c>
      <c r="K35" s="115">
        <f t="shared" si="1"/>
        <v>371.2</v>
      </c>
      <c r="L35" s="112" t="s">
        <v>80</v>
      </c>
      <c r="M35" s="112">
        <v>1</v>
      </c>
      <c r="N35" s="115">
        <f t="shared" si="2"/>
        <v>649</v>
      </c>
      <c r="O35" s="116">
        <v>1600</v>
      </c>
      <c r="P35" s="118">
        <v>46143</v>
      </c>
    </row>
    <row r="36" spans="1:16" x14ac:dyDescent="0.2">
      <c r="A36" s="112">
        <v>33</v>
      </c>
      <c r="B36" s="112" t="s">
        <v>199</v>
      </c>
      <c r="C36" s="112">
        <v>18</v>
      </c>
      <c r="D36" s="113" t="s">
        <v>321</v>
      </c>
      <c r="E36" s="112">
        <v>1</v>
      </c>
      <c r="F36" s="115">
        <v>4233</v>
      </c>
      <c r="G36" s="115">
        <v>464</v>
      </c>
      <c r="H36" s="112" t="s">
        <v>324</v>
      </c>
      <c r="I36" s="112">
        <f t="shared" si="3"/>
        <v>18</v>
      </c>
      <c r="J36" s="115">
        <v>185.6</v>
      </c>
      <c r="K36" s="115">
        <f t="shared" si="1"/>
        <v>3340.7999999999997</v>
      </c>
      <c r="L36" s="112" t="s">
        <v>80</v>
      </c>
      <c r="M36" s="112">
        <v>1</v>
      </c>
      <c r="N36" s="115">
        <f t="shared" si="2"/>
        <v>649</v>
      </c>
      <c r="O36" s="116">
        <v>1600</v>
      </c>
      <c r="P36" s="117" t="s">
        <v>329</v>
      </c>
    </row>
    <row r="37" spans="1:16" x14ac:dyDescent="0.2">
      <c r="A37" s="112">
        <v>34</v>
      </c>
      <c r="B37" s="112" t="s">
        <v>208</v>
      </c>
      <c r="C37" s="112">
        <v>20</v>
      </c>
      <c r="D37" s="113" t="s">
        <v>321</v>
      </c>
      <c r="E37" s="112">
        <v>1</v>
      </c>
      <c r="F37" s="115">
        <v>4233</v>
      </c>
      <c r="G37" s="115">
        <v>464</v>
      </c>
      <c r="H37" s="112" t="s">
        <v>324</v>
      </c>
      <c r="I37" s="112">
        <f t="shared" si="3"/>
        <v>20</v>
      </c>
      <c r="J37" s="115">
        <v>185.6</v>
      </c>
      <c r="K37" s="115">
        <f t="shared" si="1"/>
        <v>3712</v>
      </c>
      <c r="L37" s="112" t="s">
        <v>80</v>
      </c>
      <c r="M37" s="112">
        <v>1</v>
      </c>
      <c r="N37" s="115">
        <f t="shared" si="2"/>
        <v>649</v>
      </c>
      <c r="O37" s="116">
        <v>1600</v>
      </c>
      <c r="P37" s="117" t="s">
        <v>325</v>
      </c>
    </row>
    <row r="38" spans="1:16" x14ac:dyDescent="0.2">
      <c r="A38" s="112">
        <v>35</v>
      </c>
      <c r="B38" s="112" t="s">
        <v>213</v>
      </c>
      <c r="C38" s="112">
        <v>20</v>
      </c>
      <c r="D38" s="113" t="s">
        <v>321</v>
      </c>
      <c r="E38" s="112">
        <v>1</v>
      </c>
      <c r="F38" s="115">
        <v>4233</v>
      </c>
      <c r="G38" s="115">
        <v>464</v>
      </c>
      <c r="H38" s="112" t="s">
        <v>324</v>
      </c>
      <c r="I38" s="112">
        <f t="shared" si="3"/>
        <v>20</v>
      </c>
      <c r="J38" s="115">
        <v>185.6</v>
      </c>
      <c r="K38" s="115">
        <f t="shared" si="1"/>
        <v>3712</v>
      </c>
      <c r="L38" s="112" t="s">
        <v>80</v>
      </c>
      <c r="M38" s="112">
        <v>1</v>
      </c>
      <c r="N38" s="115">
        <f t="shared" si="2"/>
        <v>649</v>
      </c>
      <c r="O38" s="116">
        <v>1600</v>
      </c>
      <c r="P38" s="117" t="s">
        <v>325</v>
      </c>
    </row>
    <row r="39" spans="1:16" x14ac:dyDescent="0.2">
      <c r="A39" s="112">
        <v>36</v>
      </c>
      <c r="B39" s="112" t="s">
        <v>24</v>
      </c>
      <c r="C39" s="112">
        <v>20</v>
      </c>
      <c r="D39" s="113" t="s">
        <v>321</v>
      </c>
      <c r="E39" s="112">
        <v>1</v>
      </c>
      <c r="F39" s="115">
        <v>4233</v>
      </c>
      <c r="G39" s="115">
        <v>464</v>
      </c>
      <c r="H39" s="112" t="s">
        <v>324</v>
      </c>
      <c r="I39" s="112">
        <f t="shared" si="3"/>
        <v>20</v>
      </c>
      <c r="J39" s="115">
        <v>185.6</v>
      </c>
      <c r="K39" s="115">
        <f t="shared" si="1"/>
        <v>3712</v>
      </c>
      <c r="L39" s="112" t="s">
        <v>80</v>
      </c>
      <c r="M39" s="112">
        <v>1</v>
      </c>
      <c r="N39" s="115">
        <f t="shared" si="2"/>
        <v>649</v>
      </c>
      <c r="O39" s="116">
        <v>1600</v>
      </c>
      <c r="P39" s="117" t="s">
        <v>325</v>
      </c>
    </row>
    <row r="40" spans="1:16" ht="15.75" customHeight="1" x14ac:dyDescent="0.25">
      <c r="A40" s="112">
        <v>37</v>
      </c>
      <c r="B40" s="112" t="s">
        <v>290</v>
      </c>
      <c r="C40" s="112">
        <v>20</v>
      </c>
      <c r="D40" s="113" t="s">
        <v>321</v>
      </c>
      <c r="E40" s="112">
        <v>1</v>
      </c>
      <c r="F40" s="115">
        <v>4233</v>
      </c>
      <c r="G40" s="115">
        <v>464</v>
      </c>
      <c r="H40" s="112" t="s">
        <v>324</v>
      </c>
      <c r="I40" s="112">
        <f t="shared" si="3"/>
        <v>20</v>
      </c>
      <c r="J40" s="115">
        <v>185.6</v>
      </c>
      <c r="K40" s="115">
        <f t="shared" si="1"/>
        <v>3712</v>
      </c>
      <c r="L40" s="122" t="s">
        <v>80</v>
      </c>
      <c r="M40" s="122">
        <v>1</v>
      </c>
      <c r="N40" s="123">
        <f t="shared" si="2"/>
        <v>649</v>
      </c>
      <c r="O40" s="124">
        <v>1600</v>
      </c>
      <c r="P40" s="117" t="s">
        <v>329</v>
      </c>
    </row>
    <row r="41" spans="1:16" x14ac:dyDescent="0.2">
      <c r="A41" s="112">
        <v>38</v>
      </c>
      <c r="B41" s="112" t="s">
        <v>167</v>
      </c>
      <c r="C41" s="112">
        <v>12</v>
      </c>
      <c r="D41" s="113" t="s">
        <v>321</v>
      </c>
      <c r="E41" s="112">
        <v>1</v>
      </c>
      <c r="F41" s="115">
        <v>4233</v>
      </c>
      <c r="G41" s="115">
        <v>464</v>
      </c>
      <c r="H41" s="112" t="s">
        <v>324</v>
      </c>
      <c r="I41" s="112">
        <f t="shared" si="3"/>
        <v>12</v>
      </c>
      <c r="J41" s="115">
        <v>185.6</v>
      </c>
      <c r="K41" s="115">
        <f t="shared" si="1"/>
        <v>2227.1999999999998</v>
      </c>
      <c r="L41" s="112" t="s">
        <v>80</v>
      </c>
      <c r="M41" s="112">
        <v>1</v>
      </c>
      <c r="N41" s="115">
        <f t="shared" si="2"/>
        <v>649</v>
      </c>
      <c r="O41" s="116">
        <v>1600</v>
      </c>
      <c r="P41" s="118">
        <v>46143</v>
      </c>
    </row>
    <row r="42" spans="1:16" x14ac:dyDescent="0.2">
      <c r="A42" s="112">
        <v>39</v>
      </c>
      <c r="B42" s="112" t="s">
        <v>253</v>
      </c>
      <c r="C42" s="112">
        <v>2</v>
      </c>
      <c r="D42" s="113" t="s">
        <v>321</v>
      </c>
      <c r="E42" s="112">
        <v>1</v>
      </c>
      <c r="F42" s="115">
        <v>4233</v>
      </c>
      <c r="G42" s="115">
        <v>464</v>
      </c>
      <c r="H42" s="112" t="s">
        <v>324</v>
      </c>
      <c r="I42" s="112">
        <f t="shared" si="3"/>
        <v>2</v>
      </c>
      <c r="J42" s="115">
        <v>185.6</v>
      </c>
      <c r="K42" s="115">
        <f t="shared" si="1"/>
        <v>371.2</v>
      </c>
      <c r="L42" s="112" t="s">
        <v>80</v>
      </c>
      <c r="M42" s="112">
        <v>1</v>
      </c>
      <c r="N42" s="115">
        <f t="shared" si="2"/>
        <v>649</v>
      </c>
      <c r="O42" s="116">
        <v>1600</v>
      </c>
      <c r="P42" s="118">
        <v>46143</v>
      </c>
    </row>
    <row r="43" spans="1:16" x14ac:dyDescent="0.2">
      <c r="A43" s="112">
        <v>40</v>
      </c>
      <c r="B43" s="112" t="s">
        <v>191</v>
      </c>
      <c r="C43" s="112">
        <v>12</v>
      </c>
      <c r="D43" s="113" t="s">
        <v>321</v>
      </c>
      <c r="E43" s="112">
        <v>1</v>
      </c>
      <c r="F43" s="115">
        <v>4233</v>
      </c>
      <c r="G43" s="115">
        <v>464</v>
      </c>
      <c r="H43" s="112" t="s">
        <v>324</v>
      </c>
      <c r="I43" s="112">
        <f t="shared" si="3"/>
        <v>12</v>
      </c>
      <c r="J43" s="115">
        <v>185.6</v>
      </c>
      <c r="K43" s="115">
        <f t="shared" si="1"/>
        <v>2227.1999999999998</v>
      </c>
      <c r="L43" s="112" t="s">
        <v>80</v>
      </c>
      <c r="M43" s="112">
        <v>1</v>
      </c>
      <c r="N43" s="115">
        <f t="shared" si="2"/>
        <v>649</v>
      </c>
      <c r="O43" s="116">
        <v>1600</v>
      </c>
      <c r="P43" s="117" t="s">
        <v>325</v>
      </c>
    </row>
    <row r="44" spans="1:16" x14ac:dyDescent="0.2">
      <c r="A44" s="112">
        <v>41</v>
      </c>
      <c r="B44" s="112" t="s">
        <v>331</v>
      </c>
      <c r="C44" s="112">
        <v>16</v>
      </c>
      <c r="D44" s="113" t="s">
        <v>321</v>
      </c>
      <c r="E44" s="112">
        <v>1</v>
      </c>
      <c r="F44" s="115">
        <v>4233</v>
      </c>
      <c r="G44" s="115">
        <v>464</v>
      </c>
      <c r="H44" s="112" t="s">
        <v>324</v>
      </c>
      <c r="I44" s="112">
        <f t="shared" si="3"/>
        <v>16</v>
      </c>
      <c r="J44" s="115">
        <v>185.6</v>
      </c>
      <c r="K44" s="115">
        <f t="shared" si="1"/>
        <v>2969.6</v>
      </c>
      <c r="L44" s="112" t="s">
        <v>80</v>
      </c>
      <c r="M44" s="112">
        <v>1</v>
      </c>
      <c r="N44" s="115">
        <f t="shared" si="2"/>
        <v>649</v>
      </c>
      <c r="O44" s="116">
        <v>1600</v>
      </c>
      <c r="P44" s="118">
        <v>46143</v>
      </c>
    </row>
    <row r="45" spans="1:16" x14ac:dyDescent="0.2">
      <c r="A45" s="112">
        <v>42</v>
      </c>
      <c r="B45" s="112" t="s">
        <v>335</v>
      </c>
      <c r="C45" s="112">
        <v>2</v>
      </c>
      <c r="D45" s="113" t="s">
        <v>321</v>
      </c>
      <c r="E45" s="112">
        <v>1</v>
      </c>
      <c r="F45" s="115">
        <v>4233</v>
      </c>
      <c r="G45" s="115">
        <v>464</v>
      </c>
      <c r="H45" s="112" t="s">
        <v>324</v>
      </c>
      <c r="I45" s="112">
        <f t="shared" si="3"/>
        <v>2</v>
      </c>
      <c r="J45" s="115">
        <v>185.6</v>
      </c>
      <c r="K45" s="115">
        <f t="shared" si="1"/>
        <v>371.2</v>
      </c>
      <c r="L45" s="112" t="s">
        <v>80</v>
      </c>
      <c r="M45" s="112">
        <v>1</v>
      </c>
      <c r="N45" s="115">
        <f t="shared" si="2"/>
        <v>649</v>
      </c>
      <c r="O45" s="116">
        <v>1600</v>
      </c>
      <c r="P45" s="118">
        <v>46143</v>
      </c>
    </row>
    <row r="46" spans="1:16" x14ac:dyDescent="0.2">
      <c r="A46" s="112">
        <v>43</v>
      </c>
      <c r="B46" s="112" t="s">
        <v>181</v>
      </c>
      <c r="C46" s="112">
        <v>16</v>
      </c>
      <c r="D46" s="113" t="s">
        <v>321</v>
      </c>
      <c r="E46" s="112">
        <v>1</v>
      </c>
      <c r="F46" s="115">
        <v>4233</v>
      </c>
      <c r="G46" s="115">
        <v>464</v>
      </c>
      <c r="H46" s="112" t="s">
        <v>324</v>
      </c>
      <c r="I46" s="112">
        <f t="shared" si="3"/>
        <v>16</v>
      </c>
      <c r="J46" s="115">
        <v>185.6</v>
      </c>
      <c r="K46" s="115">
        <f t="shared" si="1"/>
        <v>2969.6</v>
      </c>
      <c r="L46" s="112" t="s">
        <v>80</v>
      </c>
      <c r="M46" s="112">
        <v>1</v>
      </c>
      <c r="N46" s="115">
        <f t="shared" si="2"/>
        <v>649</v>
      </c>
      <c r="O46" s="116">
        <v>1600</v>
      </c>
      <c r="P46" s="117" t="s">
        <v>325</v>
      </c>
    </row>
    <row r="47" spans="1:16" x14ac:dyDescent="0.2">
      <c r="A47" s="112">
        <v>44</v>
      </c>
      <c r="B47" s="112" t="s">
        <v>131</v>
      </c>
      <c r="C47" s="112">
        <v>20</v>
      </c>
      <c r="D47" s="113" t="s">
        <v>321</v>
      </c>
      <c r="E47" s="112">
        <v>1</v>
      </c>
      <c r="F47" s="115">
        <v>4233</v>
      </c>
      <c r="G47" s="115">
        <v>464</v>
      </c>
      <c r="H47" s="112" t="s">
        <v>324</v>
      </c>
      <c r="I47" s="112">
        <f t="shared" si="3"/>
        <v>20</v>
      </c>
      <c r="J47" s="115">
        <v>185.6</v>
      </c>
      <c r="K47" s="115">
        <f t="shared" si="1"/>
        <v>3712</v>
      </c>
      <c r="L47" s="112" t="s">
        <v>80</v>
      </c>
      <c r="M47" s="112">
        <v>1</v>
      </c>
      <c r="N47" s="115">
        <f t="shared" si="2"/>
        <v>649</v>
      </c>
      <c r="O47" s="116">
        <v>1600</v>
      </c>
      <c r="P47" s="117" t="s">
        <v>325</v>
      </c>
    </row>
    <row r="48" spans="1:16" x14ac:dyDescent="0.2">
      <c r="A48" s="112">
        <v>45</v>
      </c>
      <c r="B48" s="112" t="s">
        <v>301</v>
      </c>
      <c r="C48" s="112">
        <v>12</v>
      </c>
      <c r="D48" s="113" t="s">
        <v>321</v>
      </c>
      <c r="E48" s="112">
        <v>1</v>
      </c>
      <c r="F48" s="115">
        <v>4233</v>
      </c>
      <c r="G48" s="115">
        <v>464</v>
      </c>
      <c r="H48" s="112" t="s">
        <v>324</v>
      </c>
      <c r="I48" s="112">
        <f t="shared" si="3"/>
        <v>12</v>
      </c>
      <c r="J48" s="115">
        <v>185.6</v>
      </c>
      <c r="K48" s="115">
        <f t="shared" si="1"/>
        <v>2227.1999999999998</v>
      </c>
      <c r="L48" s="112" t="s">
        <v>80</v>
      </c>
      <c r="M48" s="112">
        <v>1</v>
      </c>
      <c r="N48" s="115">
        <f t="shared" si="2"/>
        <v>649</v>
      </c>
      <c r="O48" s="116">
        <v>1600</v>
      </c>
      <c r="P48" s="117" t="s">
        <v>325</v>
      </c>
    </row>
    <row r="49" spans="1:16" x14ac:dyDescent="0.2">
      <c r="A49" s="125"/>
      <c r="B49" s="125"/>
      <c r="C49" s="125">
        <f>SUM(C4:C48)</f>
        <v>664</v>
      </c>
      <c r="D49" s="125"/>
      <c r="E49" s="125">
        <f t="shared" ref="E49:G49" si="4">SUM(E4:E48)</f>
        <v>45</v>
      </c>
      <c r="F49" s="126">
        <f t="shared" si="4"/>
        <v>190485</v>
      </c>
      <c r="G49" s="126">
        <f t="shared" si="4"/>
        <v>20880</v>
      </c>
      <c r="H49" s="125"/>
      <c r="I49" s="125">
        <f>SUM(I4:I48)</f>
        <v>648</v>
      </c>
      <c r="J49" s="126"/>
      <c r="K49" s="126">
        <f>SUM(K4:K48)</f>
        <v>120268.79999999999</v>
      </c>
      <c r="L49" s="125"/>
      <c r="M49" s="125">
        <f t="shared" ref="M49:O49" si="5">SUM(M4:M48)</f>
        <v>45</v>
      </c>
      <c r="N49" s="127">
        <f t="shared" si="5"/>
        <v>29205</v>
      </c>
      <c r="O49" s="126">
        <f t="shared" si="5"/>
        <v>72000</v>
      </c>
      <c r="P49" s="117"/>
    </row>
    <row r="50" spans="1:16" x14ac:dyDescent="0.2">
      <c r="A50" s="129"/>
      <c r="B50" s="129"/>
      <c r="C50" s="129"/>
      <c r="D50" s="129"/>
      <c r="E50" s="129"/>
      <c r="H50" s="129"/>
      <c r="L50" s="129"/>
      <c r="M50" s="129"/>
      <c r="P50" s="117"/>
    </row>
    <row r="51" spans="1:16" ht="15.75" customHeight="1" x14ac:dyDescent="0.25">
      <c r="A51" s="130"/>
      <c r="B51" s="226" t="s">
        <v>350</v>
      </c>
      <c r="C51" s="174"/>
      <c r="D51" s="130"/>
      <c r="E51" s="130"/>
      <c r="F51" s="214">
        <f>SUM(F49+G49)</f>
        <v>211365</v>
      </c>
      <c r="G51" s="174"/>
      <c r="H51" s="130"/>
      <c r="I51" s="133" t="s">
        <v>319</v>
      </c>
      <c r="J51" s="215">
        <f>K49*1.16</f>
        <v>139511.80799999999</v>
      </c>
      <c r="K51" s="216"/>
      <c r="L51" s="130"/>
      <c r="M51" s="130"/>
      <c r="N51" s="214">
        <f>N49+O49</f>
        <v>101205</v>
      </c>
      <c r="O51" s="174"/>
      <c r="P51" s="117"/>
    </row>
    <row r="52" spans="1:16" ht="15.75" customHeight="1" x14ac:dyDescent="0.25">
      <c r="A52" s="130"/>
      <c r="B52" s="214">
        <f>SUM(F51+J51)</f>
        <v>350876.80799999996</v>
      </c>
      <c r="C52" s="174"/>
      <c r="D52" s="130"/>
      <c r="E52" s="130"/>
      <c r="F52" s="130"/>
      <c r="G52" s="130"/>
      <c r="H52" s="130"/>
      <c r="L52" s="130"/>
      <c r="M52" s="136"/>
      <c r="N52" s="136"/>
      <c r="O52" s="136"/>
      <c r="P52" s="117"/>
    </row>
    <row r="53" spans="1:16" ht="15.75" customHeight="1" x14ac:dyDescent="0.25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6"/>
      <c r="N53" s="136"/>
      <c r="O53" s="136"/>
      <c r="P53" s="117"/>
    </row>
    <row r="54" spans="1:16" ht="15.75" customHeight="1" x14ac:dyDescent="0.25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6"/>
      <c r="N54" s="136"/>
      <c r="O54" s="136"/>
      <c r="P54" s="117"/>
    </row>
    <row r="55" spans="1:16" ht="15.75" customHeight="1" x14ac:dyDescent="0.25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6"/>
      <c r="N55" s="136"/>
      <c r="O55" s="136"/>
      <c r="P55" s="117"/>
    </row>
    <row r="56" spans="1:16" ht="15.75" customHeight="1" x14ac:dyDescent="0.25">
      <c r="A56" s="130"/>
      <c r="B56" s="138" t="s">
        <v>354</v>
      </c>
      <c r="C56" s="138" t="s">
        <v>31</v>
      </c>
      <c r="D56" s="138" t="s">
        <v>357</v>
      </c>
      <c r="E56" s="138" t="s">
        <v>359</v>
      </c>
      <c r="F56" s="130"/>
      <c r="G56" s="130"/>
      <c r="H56" s="130"/>
      <c r="I56" s="130"/>
      <c r="J56" s="130"/>
      <c r="K56" s="130"/>
      <c r="L56" s="130"/>
      <c r="M56" s="136"/>
      <c r="N56" s="136"/>
      <c r="O56" s="136"/>
      <c r="P56" s="117"/>
    </row>
    <row r="57" spans="1:16" ht="15.75" customHeight="1" x14ac:dyDescent="0.25">
      <c r="A57" s="130"/>
      <c r="B57" s="140" t="s">
        <v>363</v>
      </c>
      <c r="C57" s="140">
        <v>648</v>
      </c>
      <c r="D57" s="141">
        <v>215.3</v>
      </c>
      <c r="E57" s="141">
        <v>139514.4</v>
      </c>
      <c r="F57" s="130"/>
      <c r="G57" s="130"/>
      <c r="H57" s="130"/>
      <c r="I57" s="130"/>
      <c r="J57" s="130"/>
      <c r="K57" s="130"/>
      <c r="L57" s="130"/>
      <c r="M57" s="136"/>
      <c r="N57" s="136"/>
      <c r="O57" s="136"/>
      <c r="P57" s="117"/>
    </row>
    <row r="58" spans="1:16" ht="15.75" customHeight="1" x14ac:dyDescent="0.25">
      <c r="A58" s="130"/>
      <c r="B58" s="140" t="s">
        <v>364</v>
      </c>
      <c r="C58" s="140">
        <v>45</v>
      </c>
      <c r="D58" s="141">
        <v>4233</v>
      </c>
      <c r="E58" s="141">
        <v>190485</v>
      </c>
      <c r="F58" s="130"/>
      <c r="G58" s="130"/>
      <c r="H58" s="130"/>
      <c r="I58" s="130"/>
      <c r="J58" s="130"/>
      <c r="K58" s="130"/>
      <c r="L58" s="130"/>
      <c r="M58" s="136"/>
      <c r="N58" s="136"/>
      <c r="O58" s="136"/>
      <c r="P58" s="117"/>
    </row>
    <row r="59" spans="1:16" ht="15.75" customHeight="1" x14ac:dyDescent="0.25">
      <c r="A59" s="130"/>
      <c r="B59" s="140" t="s">
        <v>365</v>
      </c>
      <c r="C59" s="140">
        <v>45</v>
      </c>
      <c r="D59" s="141">
        <v>464</v>
      </c>
      <c r="E59" s="141">
        <v>20880</v>
      </c>
      <c r="F59" s="130"/>
      <c r="G59" s="130"/>
      <c r="H59" s="130"/>
      <c r="I59" s="130"/>
      <c r="J59" s="130"/>
      <c r="K59" s="130"/>
      <c r="L59" s="130"/>
      <c r="M59" s="136"/>
      <c r="N59" s="136"/>
      <c r="O59" s="136"/>
      <c r="P59" s="117"/>
    </row>
    <row r="60" spans="1:16" ht="15.75" customHeight="1" x14ac:dyDescent="0.25">
      <c r="A60" s="130"/>
      <c r="B60" s="140" t="s">
        <v>366</v>
      </c>
      <c r="C60" s="140">
        <v>45</v>
      </c>
      <c r="D60" s="141">
        <v>1600</v>
      </c>
      <c r="E60" s="141">
        <v>72000</v>
      </c>
      <c r="F60" s="130"/>
      <c r="G60" s="130"/>
      <c r="H60" s="130"/>
      <c r="I60" s="130"/>
      <c r="J60" s="130"/>
      <c r="K60" s="130"/>
      <c r="L60" s="130"/>
      <c r="M60" s="136"/>
      <c r="N60" s="136"/>
      <c r="O60" s="136"/>
      <c r="P60" s="117"/>
    </row>
    <row r="61" spans="1:16" ht="15.75" customHeight="1" x14ac:dyDescent="0.25">
      <c r="A61" s="130"/>
      <c r="B61" s="140" t="s">
        <v>367</v>
      </c>
      <c r="C61" s="140"/>
      <c r="D61" s="142"/>
      <c r="E61" s="141">
        <v>422879.4</v>
      </c>
      <c r="F61" s="130"/>
      <c r="G61" s="130"/>
      <c r="H61" s="130"/>
      <c r="I61" s="130"/>
      <c r="J61" s="130"/>
      <c r="K61" s="130"/>
      <c r="L61" s="130"/>
      <c r="M61" s="136"/>
      <c r="N61" s="136"/>
      <c r="O61" s="136"/>
      <c r="P61" s="117"/>
    </row>
    <row r="62" spans="1:16" ht="15.75" customHeight="1" x14ac:dyDescent="0.25">
      <c r="A62" s="130"/>
      <c r="B62" s="131"/>
      <c r="C62" s="131"/>
      <c r="D62" s="131"/>
      <c r="E62" s="131"/>
      <c r="F62" s="130"/>
      <c r="G62" s="130"/>
      <c r="H62" s="130"/>
      <c r="I62" s="130"/>
      <c r="J62" s="130"/>
      <c r="K62" s="130"/>
      <c r="L62" s="130"/>
      <c r="M62" s="136"/>
      <c r="N62" s="136"/>
      <c r="O62" s="136"/>
      <c r="P62" s="117"/>
    </row>
    <row r="63" spans="1:16" ht="15.75" customHeight="1" x14ac:dyDescent="0.25">
      <c r="A63" s="130"/>
      <c r="B63" s="131"/>
      <c r="C63" s="131"/>
      <c r="D63" s="131"/>
      <c r="E63" s="131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17"/>
    </row>
    <row r="64" spans="1:16" ht="15.75" customHeight="1" x14ac:dyDescent="0.25">
      <c r="A64" s="130"/>
      <c r="B64" s="143" t="s">
        <v>354</v>
      </c>
      <c r="C64" s="143" t="s">
        <v>31</v>
      </c>
      <c r="D64" s="143" t="s">
        <v>357</v>
      </c>
      <c r="E64" s="143" t="s">
        <v>368</v>
      </c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17"/>
    </row>
    <row r="65" spans="1:16" ht="15.75" customHeight="1" x14ac:dyDescent="0.25">
      <c r="A65" s="130"/>
      <c r="B65" s="140" t="s">
        <v>369</v>
      </c>
      <c r="C65" s="140">
        <v>45</v>
      </c>
      <c r="D65" s="141">
        <v>649</v>
      </c>
      <c r="E65" s="141">
        <v>29205</v>
      </c>
      <c r="F65" s="144">
        <f>E65*12</f>
        <v>350460</v>
      </c>
      <c r="G65" s="130"/>
      <c r="H65" s="130"/>
      <c r="I65" s="130"/>
      <c r="J65" s="130"/>
      <c r="K65" s="130"/>
      <c r="L65" s="130"/>
      <c r="M65" s="130"/>
      <c r="N65" s="130"/>
      <c r="O65" s="130"/>
      <c r="P65" s="117"/>
    </row>
    <row r="66" spans="1:16" ht="15.75" customHeight="1" x14ac:dyDescent="0.25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17"/>
    </row>
    <row r="67" spans="1:16" ht="15.75" customHeight="1" x14ac:dyDescent="0.25">
      <c r="A67" s="130"/>
      <c r="B67" s="138" t="s">
        <v>354</v>
      </c>
      <c r="C67" s="138" t="s">
        <v>371</v>
      </c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17"/>
    </row>
    <row r="68" spans="1:16" ht="15.75" customHeight="1" x14ac:dyDescent="0.25">
      <c r="A68" s="130"/>
      <c r="B68" s="140" t="s">
        <v>373</v>
      </c>
      <c r="C68" s="145">
        <v>422879.4</v>
      </c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17"/>
    </row>
    <row r="69" spans="1:16" ht="15.75" customHeight="1" x14ac:dyDescent="0.25">
      <c r="A69" s="130"/>
      <c r="B69" s="140" t="s">
        <v>374</v>
      </c>
      <c r="C69" s="145">
        <v>507455.28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17"/>
    </row>
    <row r="70" spans="1:16" ht="15.75" customHeight="1" x14ac:dyDescent="0.25">
      <c r="A70" s="130"/>
      <c r="B70" s="140" t="s">
        <v>375</v>
      </c>
      <c r="C70" s="145">
        <v>528599.25</v>
      </c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17"/>
    </row>
    <row r="71" spans="1:16" ht="15.75" customHeight="1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17"/>
    </row>
    <row r="72" spans="1:16" ht="15.75" customHeight="1" x14ac:dyDescent="0.25">
      <c r="A72" s="130"/>
      <c r="B72" s="146" t="s">
        <v>354</v>
      </c>
      <c r="C72" s="146" t="s">
        <v>31</v>
      </c>
      <c r="D72" s="143" t="s">
        <v>376</v>
      </c>
      <c r="E72" s="138" t="s">
        <v>359</v>
      </c>
      <c r="F72" s="138" t="s">
        <v>377</v>
      </c>
      <c r="G72" s="130"/>
      <c r="H72" s="130"/>
      <c r="I72" s="130"/>
      <c r="J72" s="130"/>
      <c r="K72" s="130"/>
      <c r="L72" s="130"/>
      <c r="M72" s="130"/>
      <c r="N72" s="130"/>
      <c r="O72" s="130"/>
      <c r="P72" s="117"/>
    </row>
    <row r="73" spans="1:16" ht="15.75" customHeight="1" x14ac:dyDescent="0.25">
      <c r="A73" s="130"/>
      <c r="B73" s="148" t="s">
        <v>59</v>
      </c>
      <c r="C73" s="149">
        <v>278</v>
      </c>
      <c r="D73" s="141">
        <f>1500*1.16</f>
        <v>1739.9999999999998</v>
      </c>
      <c r="E73" s="141">
        <f t="shared" ref="E73:E74" si="6">C73*D73</f>
        <v>483719.99999999994</v>
      </c>
      <c r="F73" s="141">
        <f t="shared" ref="F73:F74" si="7">E73*1.2</f>
        <v>580463.99999999988</v>
      </c>
      <c r="G73" s="130"/>
      <c r="H73" s="130"/>
      <c r="I73" s="130"/>
      <c r="J73" s="130"/>
      <c r="K73" s="130"/>
      <c r="L73" s="130"/>
      <c r="M73" s="130"/>
      <c r="N73" s="130"/>
      <c r="O73" s="130"/>
      <c r="P73" s="117"/>
    </row>
    <row r="74" spans="1:16" ht="15.75" customHeight="1" x14ac:dyDescent="0.25">
      <c r="A74" s="130"/>
      <c r="B74" s="148" t="s">
        <v>57</v>
      </c>
      <c r="C74" s="149">
        <v>256</v>
      </c>
      <c r="D74" s="141">
        <f>700*1.16</f>
        <v>812</v>
      </c>
      <c r="E74" s="141">
        <f t="shared" si="6"/>
        <v>207872</v>
      </c>
      <c r="F74" s="141">
        <f t="shared" si="7"/>
        <v>249446.39999999999</v>
      </c>
      <c r="G74" s="130"/>
      <c r="H74" s="130"/>
      <c r="I74" s="130"/>
      <c r="J74" s="130"/>
      <c r="K74" s="130"/>
      <c r="L74" s="130"/>
      <c r="M74" s="130"/>
      <c r="N74" s="130"/>
      <c r="O74" s="130"/>
      <c r="P74" s="117"/>
    </row>
    <row r="75" spans="1:16" ht="15.75" customHeight="1" x14ac:dyDescent="0.25">
      <c r="A75" s="130"/>
      <c r="B75" s="148" t="s">
        <v>383</v>
      </c>
      <c r="C75" s="149">
        <v>15</v>
      </c>
      <c r="D75" s="152" t="s">
        <v>384</v>
      </c>
      <c r="E75" s="152" t="s">
        <v>384</v>
      </c>
      <c r="F75" s="152" t="s">
        <v>384</v>
      </c>
      <c r="G75" s="130"/>
      <c r="H75" s="130"/>
      <c r="I75" s="130"/>
      <c r="J75" s="130"/>
      <c r="K75" s="130"/>
      <c r="L75" s="130"/>
      <c r="M75" s="130"/>
      <c r="N75" s="130"/>
      <c r="O75" s="130"/>
      <c r="P75" s="117"/>
    </row>
    <row r="76" spans="1:16" ht="15.75" customHeight="1" x14ac:dyDescent="0.25">
      <c r="A76" s="130"/>
      <c r="B76" s="130"/>
      <c r="C76" s="130"/>
      <c r="D76" s="130"/>
      <c r="E76" s="130"/>
      <c r="F76" s="153"/>
      <c r="G76" s="130"/>
      <c r="H76" s="130"/>
      <c r="I76" s="130"/>
      <c r="J76" s="130"/>
      <c r="K76" s="130"/>
      <c r="L76" s="130"/>
      <c r="M76" s="130"/>
      <c r="N76" s="130"/>
      <c r="O76" s="130"/>
      <c r="P76" s="117"/>
    </row>
    <row r="77" spans="1:16" ht="15.75" customHeight="1" x14ac:dyDescent="0.25">
      <c r="A77" s="130"/>
      <c r="B77" s="155" t="s">
        <v>284</v>
      </c>
      <c r="C77" s="155" t="s">
        <v>385</v>
      </c>
      <c r="D77" s="155" t="s">
        <v>386</v>
      </c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17"/>
    </row>
    <row r="78" spans="1:16" ht="15.75" customHeight="1" x14ac:dyDescent="0.25">
      <c r="A78" s="130"/>
      <c r="B78" s="156" t="s">
        <v>387</v>
      </c>
      <c r="C78" s="157">
        <v>15</v>
      </c>
      <c r="D78" s="158">
        <v>40000</v>
      </c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17"/>
    </row>
    <row r="79" spans="1:16" ht="15.75" customHeight="1" x14ac:dyDescent="0.25">
      <c r="A79" s="130"/>
      <c r="B79" s="156" t="s">
        <v>389</v>
      </c>
      <c r="C79" s="157">
        <v>20</v>
      </c>
      <c r="D79" s="158">
        <v>40000</v>
      </c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17"/>
    </row>
    <row r="80" spans="1:16" ht="15.75" customHeight="1" x14ac:dyDescent="0.25">
      <c r="A80" s="130"/>
      <c r="B80" s="156" t="s">
        <v>390</v>
      </c>
      <c r="C80" s="157">
        <v>12</v>
      </c>
      <c r="D80" s="158">
        <v>30000</v>
      </c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17"/>
    </row>
    <row r="81" spans="1:16" ht="15.75" customHeight="1" x14ac:dyDescent="0.25">
      <c r="A81" s="130"/>
      <c r="B81" s="156" t="s">
        <v>391</v>
      </c>
      <c r="C81" s="157">
        <v>18</v>
      </c>
      <c r="D81" s="158">
        <v>40000</v>
      </c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17"/>
    </row>
    <row r="82" spans="1:16" ht="15.75" customHeight="1" x14ac:dyDescent="0.25">
      <c r="A82" s="130"/>
      <c r="B82" s="156" t="s">
        <v>392</v>
      </c>
      <c r="C82" s="157">
        <v>20</v>
      </c>
      <c r="D82" s="158">
        <v>40000</v>
      </c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17"/>
    </row>
    <row r="83" spans="1:16" ht="15.75" customHeight="1" x14ac:dyDescent="0.25">
      <c r="A83" s="130"/>
      <c r="B83" s="156" t="s">
        <v>393</v>
      </c>
      <c r="C83" s="157">
        <v>20</v>
      </c>
      <c r="D83" s="158">
        <v>40000</v>
      </c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17"/>
    </row>
    <row r="84" spans="1:16" ht="15.75" customHeight="1" x14ac:dyDescent="0.25">
      <c r="A84" s="130"/>
      <c r="B84" s="156" t="s">
        <v>394</v>
      </c>
      <c r="C84" s="157">
        <v>20</v>
      </c>
      <c r="D84" s="158">
        <v>40000</v>
      </c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17"/>
    </row>
    <row r="85" spans="1:16" ht="15.75" customHeight="1" x14ac:dyDescent="0.25">
      <c r="A85" s="130"/>
      <c r="B85" s="156" t="s">
        <v>395</v>
      </c>
      <c r="C85" s="157">
        <v>20</v>
      </c>
      <c r="D85" s="158">
        <v>40000</v>
      </c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17"/>
    </row>
    <row r="86" spans="1:16" ht="15.75" customHeight="1" x14ac:dyDescent="0.25">
      <c r="A86" s="130"/>
      <c r="B86" s="156" t="s">
        <v>396</v>
      </c>
      <c r="C86" s="157">
        <v>10</v>
      </c>
      <c r="D86" s="158">
        <v>30000</v>
      </c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17"/>
    </row>
    <row r="87" spans="1:16" ht="15.75" customHeight="1" x14ac:dyDescent="0.25">
      <c r="A87" s="130"/>
      <c r="B87" s="156" t="s">
        <v>397</v>
      </c>
      <c r="C87" s="157">
        <v>20</v>
      </c>
      <c r="D87" s="158">
        <v>40000</v>
      </c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17"/>
    </row>
    <row r="88" spans="1:16" ht="15.75" customHeight="1" x14ac:dyDescent="0.25">
      <c r="A88" s="130"/>
      <c r="B88" s="156" t="s">
        <v>398</v>
      </c>
      <c r="C88" s="157">
        <v>10</v>
      </c>
      <c r="D88" s="158">
        <v>30000</v>
      </c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17"/>
    </row>
    <row r="89" spans="1:16" ht="15.75" customHeight="1" x14ac:dyDescent="0.25">
      <c r="A89" s="130"/>
      <c r="B89" s="156" t="s">
        <v>399</v>
      </c>
      <c r="C89" s="157">
        <v>6</v>
      </c>
      <c r="D89" s="158">
        <v>20000</v>
      </c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17"/>
    </row>
    <row r="90" spans="1:16" ht="15.75" customHeight="1" x14ac:dyDescent="0.25">
      <c r="A90" s="130"/>
      <c r="B90" s="156" t="s">
        <v>401</v>
      </c>
      <c r="C90" s="157">
        <v>20</v>
      </c>
      <c r="D90" s="158">
        <v>40000</v>
      </c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17"/>
    </row>
    <row r="91" spans="1:16" ht="15.75" customHeight="1" x14ac:dyDescent="0.25">
      <c r="A91" s="130"/>
      <c r="B91" s="156" t="s">
        <v>402</v>
      </c>
      <c r="C91" s="157">
        <v>2</v>
      </c>
      <c r="D91" s="158">
        <v>20000</v>
      </c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17"/>
    </row>
    <row r="92" spans="1:16" ht="15.75" customHeight="1" x14ac:dyDescent="0.25">
      <c r="A92" s="130"/>
      <c r="B92" s="156" t="s">
        <v>403</v>
      </c>
      <c r="C92" s="157">
        <v>20</v>
      </c>
      <c r="D92" s="158">
        <v>40000</v>
      </c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17"/>
    </row>
    <row r="93" spans="1:16" ht="15.75" customHeight="1" x14ac:dyDescent="0.25">
      <c r="A93" s="130"/>
      <c r="B93" s="163" t="s">
        <v>404</v>
      </c>
      <c r="C93" s="155">
        <v>233</v>
      </c>
      <c r="D93" s="163" t="s">
        <v>406</v>
      </c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17"/>
    </row>
    <row r="94" spans="1:16" ht="15.75" customHeight="1" x14ac:dyDescent="0.25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17"/>
    </row>
    <row r="95" spans="1:16" ht="15.75" customHeight="1" x14ac:dyDescent="0.25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17"/>
    </row>
    <row r="96" spans="1:16" ht="15.75" customHeight="1" x14ac:dyDescent="0.25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17"/>
    </row>
    <row r="97" spans="1:16" ht="15.75" customHeight="1" x14ac:dyDescent="0.25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17"/>
    </row>
    <row r="98" spans="1:16" ht="15.75" customHeight="1" x14ac:dyDescent="0.25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17"/>
    </row>
    <row r="99" spans="1:16" ht="15.75" customHeight="1" x14ac:dyDescent="0.25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17"/>
    </row>
    <row r="100" spans="1:16" ht="15.75" customHeight="1" x14ac:dyDescent="0.25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17"/>
    </row>
    <row r="101" spans="1:16" ht="15.75" customHeight="1" x14ac:dyDescent="0.25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17"/>
    </row>
    <row r="102" spans="1:16" ht="15.75" customHeight="1" x14ac:dyDescent="0.25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17"/>
    </row>
    <row r="103" spans="1:16" ht="15.75" customHeight="1" x14ac:dyDescent="0.25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17"/>
    </row>
    <row r="104" spans="1:16" ht="15.75" customHeight="1" x14ac:dyDescent="0.25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17"/>
    </row>
    <row r="105" spans="1:16" ht="15.75" customHeight="1" x14ac:dyDescent="0.25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17"/>
    </row>
    <row r="106" spans="1:16" ht="15.75" customHeight="1" x14ac:dyDescent="0.25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17"/>
    </row>
    <row r="107" spans="1:16" ht="15.75" customHeight="1" x14ac:dyDescent="0.25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17"/>
    </row>
    <row r="108" spans="1:16" ht="15.75" customHeight="1" x14ac:dyDescent="0.25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17"/>
    </row>
    <row r="109" spans="1:16" ht="15.75" customHeight="1" x14ac:dyDescent="0.25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17"/>
    </row>
    <row r="110" spans="1:16" ht="15.75" customHeight="1" x14ac:dyDescent="0.25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17"/>
    </row>
    <row r="111" spans="1:16" ht="15.75" customHeight="1" x14ac:dyDescent="0.25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17"/>
    </row>
    <row r="112" spans="1:16" ht="15.75" customHeight="1" x14ac:dyDescent="0.25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17"/>
    </row>
    <row r="113" spans="1:16" ht="15.75" customHeight="1" x14ac:dyDescent="0.25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17"/>
    </row>
    <row r="114" spans="1:16" ht="15.75" customHeight="1" x14ac:dyDescent="0.25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17"/>
    </row>
    <row r="115" spans="1:16" ht="15.75" customHeight="1" x14ac:dyDescent="0.2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17"/>
    </row>
    <row r="116" spans="1:16" ht="15.75" customHeight="1" x14ac:dyDescent="0.25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17"/>
    </row>
    <row r="117" spans="1:16" ht="15.75" customHeight="1" x14ac:dyDescent="0.25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17"/>
    </row>
    <row r="118" spans="1:16" ht="15.75" customHeight="1" x14ac:dyDescent="0.25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17"/>
    </row>
    <row r="119" spans="1:16" ht="15.75" customHeight="1" x14ac:dyDescent="0.25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17"/>
    </row>
    <row r="120" spans="1:16" ht="15.75" customHeight="1" x14ac:dyDescent="0.25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17"/>
    </row>
    <row r="121" spans="1:16" ht="15.75" customHeight="1" x14ac:dyDescent="0.25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17"/>
    </row>
    <row r="122" spans="1:16" ht="15.75" customHeight="1" x14ac:dyDescent="0.25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17"/>
    </row>
    <row r="123" spans="1:16" ht="15.75" customHeight="1" x14ac:dyDescent="0.25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17"/>
    </row>
    <row r="124" spans="1:16" ht="15.75" customHeight="1" x14ac:dyDescent="0.25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17"/>
    </row>
    <row r="125" spans="1:16" ht="15.75" customHeight="1" x14ac:dyDescent="0.2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17"/>
    </row>
    <row r="126" spans="1:16" ht="15.75" customHeight="1" x14ac:dyDescent="0.25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17"/>
    </row>
    <row r="127" spans="1:16" ht="15.75" customHeight="1" x14ac:dyDescent="0.25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17"/>
    </row>
    <row r="128" spans="1:16" ht="15.75" customHeight="1" x14ac:dyDescent="0.25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17"/>
    </row>
    <row r="129" spans="1:16" ht="15.75" customHeight="1" x14ac:dyDescent="0.25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17"/>
    </row>
    <row r="130" spans="1:16" ht="15.75" customHeight="1" x14ac:dyDescent="0.25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17"/>
    </row>
    <row r="131" spans="1:16" ht="15.75" customHeight="1" x14ac:dyDescent="0.25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17"/>
    </row>
    <row r="132" spans="1:16" ht="15.75" customHeight="1" x14ac:dyDescent="0.25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17"/>
    </row>
    <row r="133" spans="1:16" ht="15.75" customHeight="1" x14ac:dyDescent="0.25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17"/>
    </row>
    <row r="134" spans="1:16" ht="15.75" customHeight="1" x14ac:dyDescent="0.25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17"/>
    </row>
    <row r="135" spans="1:16" ht="15.75" customHeight="1" x14ac:dyDescent="0.2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17"/>
    </row>
    <row r="136" spans="1:16" ht="15.75" customHeight="1" x14ac:dyDescent="0.25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17"/>
    </row>
    <row r="137" spans="1:16" ht="15.75" customHeight="1" x14ac:dyDescent="0.25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17"/>
    </row>
    <row r="138" spans="1:16" ht="15.75" customHeight="1" x14ac:dyDescent="0.25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17"/>
    </row>
    <row r="139" spans="1:16" ht="15.75" customHeight="1" x14ac:dyDescent="0.25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17"/>
    </row>
    <row r="140" spans="1:16" ht="15.75" customHeight="1" x14ac:dyDescent="0.25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17"/>
    </row>
    <row r="141" spans="1:16" ht="15.75" customHeight="1" x14ac:dyDescent="0.25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17"/>
    </row>
    <row r="142" spans="1:16" ht="15.75" customHeight="1" x14ac:dyDescent="0.25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17"/>
    </row>
    <row r="143" spans="1:16" ht="15.75" customHeight="1" x14ac:dyDescent="0.25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17"/>
    </row>
    <row r="144" spans="1:16" ht="15.75" customHeight="1" x14ac:dyDescent="0.25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17"/>
    </row>
    <row r="145" spans="1:16" ht="15.75" customHeight="1" x14ac:dyDescent="0.2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17"/>
    </row>
    <row r="146" spans="1:16" ht="15.75" customHeight="1" x14ac:dyDescent="0.25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17"/>
    </row>
    <row r="147" spans="1:16" ht="15.75" customHeight="1" x14ac:dyDescent="0.25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17"/>
    </row>
    <row r="148" spans="1:16" ht="15.75" customHeight="1" x14ac:dyDescent="0.25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17"/>
    </row>
    <row r="149" spans="1:16" ht="15.75" customHeight="1" x14ac:dyDescent="0.25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17"/>
    </row>
    <row r="150" spans="1:16" ht="15.75" customHeight="1" x14ac:dyDescent="0.25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17"/>
    </row>
    <row r="151" spans="1:16" ht="15.75" customHeight="1" x14ac:dyDescent="0.25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17"/>
    </row>
    <row r="152" spans="1:16" ht="15.75" customHeight="1" x14ac:dyDescent="0.25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17"/>
    </row>
    <row r="153" spans="1:16" ht="15.75" customHeight="1" x14ac:dyDescent="0.25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17"/>
    </row>
    <row r="154" spans="1:16" ht="15.75" customHeight="1" x14ac:dyDescent="0.25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17"/>
    </row>
    <row r="155" spans="1:16" ht="15.75" customHeight="1" x14ac:dyDescent="0.2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17"/>
    </row>
    <row r="156" spans="1:16" ht="15.75" customHeight="1" x14ac:dyDescent="0.25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17"/>
    </row>
    <row r="157" spans="1:16" ht="15.75" customHeight="1" x14ac:dyDescent="0.25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17"/>
    </row>
    <row r="158" spans="1:16" ht="15.75" customHeight="1" x14ac:dyDescent="0.25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17"/>
    </row>
    <row r="159" spans="1:16" ht="15.75" customHeight="1" x14ac:dyDescent="0.25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17"/>
    </row>
    <row r="160" spans="1:16" ht="15.75" customHeight="1" x14ac:dyDescent="0.25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17"/>
    </row>
    <row r="161" spans="1:16" ht="15.75" customHeight="1" x14ac:dyDescent="0.25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17"/>
    </row>
    <row r="162" spans="1:16" ht="15.75" customHeight="1" x14ac:dyDescent="0.25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17"/>
    </row>
    <row r="163" spans="1:16" ht="15.75" customHeight="1" x14ac:dyDescent="0.25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17"/>
    </row>
    <row r="164" spans="1:16" ht="15.75" customHeight="1" x14ac:dyDescent="0.25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17"/>
    </row>
    <row r="165" spans="1:16" ht="15.75" customHeight="1" x14ac:dyDescent="0.2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17"/>
    </row>
    <row r="166" spans="1:16" ht="15.75" customHeight="1" x14ac:dyDescent="0.25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17"/>
    </row>
    <row r="167" spans="1:16" ht="15.75" customHeight="1" x14ac:dyDescent="0.25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17"/>
    </row>
    <row r="168" spans="1:16" ht="15.75" customHeight="1" x14ac:dyDescent="0.25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17"/>
    </row>
    <row r="169" spans="1:16" ht="15.75" customHeight="1" x14ac:dyDescent="0.25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17"/>
    </row>
    <row r="170" spans="1:16" ht="15.75" customHeight="1" x14ac:dyDescent="0.25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17"/>
    </row>
    <row r="171" spans="1:16" ht="15.75" customHeight="1" x14ac:dyDescent="0.25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17"/>
    </row>
    <row r="172" spans="1:16" ht="15.75" customHeight="1" x14ac:dyDescent="0.25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17"/>
    </row>
    <row r="173" spans="1:16" ht="15.75" customHeight="1" x14ac:dyDescent="0.25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17"/>
    </row>
    <row r="174" spans="1:16" ht="15.75" customHeight="1" x14ac:dyDescent="0.25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17"/>
    </row>
    <row r="175" spans="1:16" ht="15.75" customHeight="1" x14ac:dyDescent="0.2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17"/>
    </row>
    <row r="176" spans="1:16" ht="15.75" customHeight="1" x14ac:dyDescent="0.25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17"/>
    </row>
    <row r="177" spans="1:16" ht="15.75" customHeight="1" x14ac:dyDescent="0.25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17"/>
    </row>
    <row r="178" spans="1:16" ht="15.75" customHeight="1" x14ac:dyDescent="0.25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17"/>
    </row>
    <row r="179" spans="1:16" ht="15.75" customHeight="1" x14ac:dyDescent="0.25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17"/>
    </row>
    <row r="180" spans="1:16" ht="15.75" customHeight="1" x14ac:dyDescent="0.25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17"/>
    </row>
    <row r="181" spans="1:16" ht="15.75" customHeight="1" x14ac:dyDescent="0.25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17"/>
    </row>
    <row r="182" spans="1:16" ht="15.75" customHeight="1" x14ac:dyDescent="0.25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17"/>
    </row>
    <row r="183" spans="1:16" ht="15.75" customHeight="1" x14ac:dyDescent="0.25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17"/>
    </row>
    <row r="184" spans="1:16" ht="15.75" customHeight="1" x14ac:dyDescent="0.25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17"/>
    </row>
    <row r="185" spans="1:16" ht="15.75" customHeight="1" x14ac:dyDescent="0.2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17"/>
    </row>
    <row r="186" spans="1:16" ht="15.75" customHeight="1" x14ac:dyDescent="0.25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17"/>
    </row>
    <row r="187" spans="1:16" ht="15.75" customHeight="1" x14ac:dyDescent="0.25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17"/>
    </row>
    <row r="188" spans="1:16" ht="15.75" customHeight="1" x14ac:dyDescent="0.25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17"/>
    </row>
    <row r="189" spans="1:16" ht="15.75" customHeight="1" x14ac:dyDescent="0.25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17"/>
    </row>
    <row r="190" spans="1:16" ht="15.75" customHeight="1" x14ac:dyDescent="0.25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17"/>
    </row>
    <row r="191" spans="1:16" ht="15.75" customHeight="1" x14ac:dyDescent="0.25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17"/>
    </row>
    <row r="192" spans="1:16" ht="15.75" customHeight="1" x14ac:dyDescent="0.25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17"/>
    </row>
    <row r="193" spans="1:16" ht="15.75" customHeight="1" x14ac:dyDescent="0.25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17"/>
    </row>
    <row r="194" spans="1:16" ht="15.75" customHeight="1" x14ac:dyDescent="0.25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17"/>
    </row>
    <row r="195" spans="1:16" ht="15.75" customHeight="1" x14ac:dyDescent="0.2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17"/>
    </row>
    <row r="196" spans="1:16" ht="15.75" customHeight="1" x14ac:dyDescent="0.25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17"/>
    </row>
    <row r="197" spans="1:16" ht="15.75" customHeight="1" x14ac:dyDescent="0.25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17"/>
    </row>
    <row r="198" spans="1:16" ht="15.75" customHeight="1" x14ac:dyDescent="0.25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17"/>
    </row>
    <row r="199" spans="1:16" ht="15.75" customHeight="1" x14ac:dyDescent="0.25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17"/>
    </row>
    <row r="200" spans="1:16" ht="15.75" customHeight="1" x14ac:dyDescent="0.25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17"/>
    </row>
    <row r="201" spans="1:16" ht="15.75" customHeight="1" x14ac:dyDescent="0.25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17"/>
    </row>
    <row r="202" spans="1:16" ht="15.75" customHeight="1" x14ac:dyDescent="0.25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17"/>
    </row>
    <row r="203" spans="1:16" ht="15.75" customHeight="1" x14ac:dyDescent="0.25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17"/>
    </row>
    <row r="204" spans="1:16" ht="15.75" customHeight="1" x14ac:dyDescent="0.25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17"/>
    </row>
    <row r="205" spans="1:16" ht="15.75" customHeight="1" x14ac:dyDescent="0.2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17"/>
    </row>
    <row r="206" spans="1:16" ht="15.75" customHeight="1" x14ac:dyDescent="0.25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17"/>
    </row>
    <row r="207" spans="1:16" ht="15.75" customHeight="1" x14ac:dyDescent="0.25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17"/>
    </row>
    <row r="208" spans="1:16" ht="15.75" customHeight="1" x14ac:dyDescent="0.25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17"/>
    </row>
    <row r="209" spans="1:16" ht="15.75" customHeight="1" x14ac:dyDescent="0.25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17"/>
    </row>
    <row r="210" spans="1:16" ht="15.75" customHeight="1" x14ac:dyDescent="0.25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17"/>
    </row>
    <row r="211" spans="1:16" ht="15.75" customHeight="1" x14ac:dyDescent="0.25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17"/>
    </row>
    <row r="212" spans="1:16" ht="15.75" customHeight="1" x14ac:dyDescent="0.25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17"/>
    </row>
    <row r="213" spans="1:16" ht="15.75" customHeight="1" x14ac:dyDescent="0.25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17"/>
    </row>
    <row r="214" spans="1:16" ht="15.75" customHeight="1" x14ac:dyDescent="0.25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17"/>
    </row>
    <row r="215" spans="1:16" ht="15.75" customHeight="1" x14ac:dyDescent="0.2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17"/>
    </row>
    <row r="216" spans="1:16" ht="15.75" customHeight="1" x14ac:dyDescent="0.25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17"/>
    </row>
    <row r="217" spans="1:16" ht="15.75" customHeight="1" x14ac:dyDescent="0.25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17"/>
    </row>
    <row r="218" spans="1:16" ht="15.75" customHeight="1" x14ac:dyDescent="0.25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17"/>
    </row>
    <row r="219" spans="1:16" ht="15.75" customHeight="1" x14ac:dyDescent="0.25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17"/>
    </row>
    <row r="220" spans="1:16" ht="15.75" customHeight="1" x14ac:dyDescent="0.25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17"/>
    </row>
    <row r="221" spans="1:16" ht="15.75" customHeight="1" x14ac:dyDescent="0.25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17"/>
    </row>
    <row r="222" spans="1:16" ht="15.75" customHeight="1" x14ac:dyDescent="0.25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17"/>
    </row>
    <row r="223" spans="1:16" ht="15.75" customHeight="1" x14ac:dyDescent="0.25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17"/>
    </row>
    <row r="224" spans="1:16" ht="15.75" customHeight="1" x14ac:dyDescent="0.25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17"/>
    </row>
    <row r="225" spans="1:16" ht="15.75" customHeight="1" x14ac:dyDescent="0.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17"/>
    </row>
    <row r="226" spans="1:16" ht="15.75" customHeight="1" x14ac:dyDescent="0.25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17"/>
    </row>
    <row r="227" spans="1:16" ht="15.75" customHeight="1" x14ac:dyDescent="0.25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17"/>
    </row>
    <row r="228" spans="1:16" ht="15.75" customHeight="1" x14ac:dyDescent="0.25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17"/>
    </row>
    <row r="229" spans="1:16" ht="15.75" customHeight="1" x14ac:dyDescent="0.25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17"/>
    </row>
    <row r="230" spans="1:16" ht="15.75" customHeight="1" x14ac:dyDescent="0.25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17"/>
    </row>
    <row r="231" spans="1:16" ht="15.75" customHeight="1" x14ac:dyDescent="0.25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17"/>
    </row>
    <row r="232" spans="1:16" ht="15.75" customHeight="1" x14ac:dyDescent="0.25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17"/>
    </row>
    <row r="233" spans="1:16" ht="15.75" customHeight="1" x14ac:dyDescent="0.25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17"/>
    </row>
    <row r="234" spans="1:16" ht="15.75" customHeight="1" x14ac:dyDescent="0.25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17"/>
    </row>
    <row r="235" spans="1:16" ht="15.75" customHeight="1" x14ac:dyDescent="0.2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17"/>
    </row>
    <row r="236" spans="1:16" ht="15.75" customHeight="1" x14ac:dyDescent="0.25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17"/>
    </row>
    <row r="237" spans="1:16" ht="15.75" customHeight="1" x14ac:dyDescent="0.25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17"/>
    </row>
    <row r="238" spans="1:16" ht="15.75" customHeight="1" x14ac:dyDescent="0.25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17"/>
    </row>
    <row r="239" spans="1:16" ht="15.75" customHeight="1" x14ac:dyDescent="0.25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17"/>
    </row>
    <row r="240" spans="1:16" ht="15.75" customHeight="1" x14ac:dyDescent="0.25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17"/>
    </row>
    <row r="241" spans="1:16" ht="15.75" customHeight="1" x14ac:dyDescent="0.25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17"/>
    </row>
    <row r="242" spans="1:16" ht="15.75" customHeight="1" x14ac:dyDescent="0.25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17"/>
    </row>
    <row r="243" spans="1:16" ht="15.75" customHeight="1" x14ac:dyDescent="0.25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17"/>
    </row>
    <row r="244" spans="1:16" ht="15.75" customHeight="1" x14ac:dyDescent="0.25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17"/>
    </row>
    <row r="245" spans="1:16" ht="15.75" customHeight="1" x14ac:dyDescent="0.2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17"/>
    </row>
    <row r="246" spans="1:16" ht="15.75" customHeight="1" x14ac:dyDescent="0.25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17"/>
    </row>
    <row r="247" spans="1:16" ht="15.75" customHeight="1" x14ac:dyDescent="0.25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17"/>
    </row>
    <row r="248" spans="1:16" ht="15.75" customHeight="1" x14ac:dyDescent="0.25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17"/>
    </row>
    <row r="249" spans="1:16" ht="15.75" customHeight="1" x14ac:dyDescent="0.25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17"/>
    </row>
    <row r="250" spans="1:16" ht="15.75" customHeight="1" x14ac:dyDescent="0.25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17"/>
    </row>
    <row r="251" spans="1:16" ht="15.75" customHeight="1" x14ac:dyDescent="0.25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17"/>
    </row>
    <row r="252" spans="1:16" ht="15.75" customHeight="1" x14ac:dyDescent="0.25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17"/>
    </row>
    <row r="253" spans="1:16" ht="15.75" customHeight="1" x14ac:dyDescent="0.25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17"/>
    </row>
    <row r="254" spans="1:16" ht="15.75" customHeight="1" x14ac:dyDescent="0.25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17"/>
    </row>
    <row r="255" spans="1:16" ht="15.75" customHeight="1" x14ac:dyDescent="0.2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17"/>
    </row>
    <row r="256" spans="1:16" ht="15.75" customHeight="1" x14ac:dyDescent="0.25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17"/>
    </row>
    <row r="257" spans="1:16" ht="15.75" customHeight="1" x14ac:dyDescent="0.25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17"/>
    </row>
    <row r="258" spans="1:16" ht="15.75" customHeight="1" x14ac:dyDescent="0.25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17"/>
    </row>
    <row r="259" spans="1:16" ht="15.75" customHeight="1" x14ac:dyDescent="0.25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17"/>
    </row>
    <row r="260" spans="1:16" ht="15.75" customHeight="1" x14ac:dyDescent="0.25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17"/>
    </row>
    <row r="261" spans="1:16" ht="15.75" customHeight="1" x14ac:dyDescent="0.25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17"/>
    </row>
    <row r="262" spans="1:16" ht="15.75" customHeight="1" x14ac:dyDescent="0.25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17"/>
    </row>
    <row r="263" spans="1:16" ht="15.75" customHeight="1" x14ac:dyDescent="0.25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17"/>
    </row>
    <row r="264" spans="1:16" ht="15.75" customHeight="1" x14ac:dyDescent="0.25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17"/>
    </row>
    <row r="265" spans="1:16" ht="15.75" customHeight="1" x14ac:dyDescent="0.2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17"/>
    </row>
    <row r="266" spans="1:16" ht="15.75" customHeight="1" x14ac:dyDescent="0.25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17"/>
    </row>
    <row r="267" spans="1:16" ht="15.75" customHeight="1" x14ac:dyDescent="0.25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17"/>
    </row>
    <row r="268" spans="1:16" ht="15.75" customHeight="1" x14ac:dyDescent="0.25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17"/>
    </row>
    <row r="269" spans="1:16" ht="15.75" customHeight="1" x14ac:dyDescent="0.25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17"/>
    </row>
    <row r="270" spans="1:16" ht="15.75" customHeight="1" x14ac:dyDescent="0.25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17"/>
    </row>
    <row r="271" spans="1:16" ht="15.75" customHeight="1" x14ac:dyDescent="0.25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17"/>
    </row>
    <row r="272" spans="1:16" ht="15.75" customHeight="1" x14ac:dyDescent="0.25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17"/>
    </row>
    <row r="273" spans="1:16" ht="15.75" customHeight="1" x14ac:dyDescent="0.25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17"/>
    </row>
    <row r="274" spans="1:16" ht="15.75" customHeight="1" x14ac:dyDescent="0.25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17"/>
    </row>
    <row r="275" spans="1:16" ht="15.75" customHeight="1" x14ac:dyDescent="0.2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17"/>
    </row>
    <row r="276" spans="1:16" ht="15.75" customHeight="1" x14ac:dyDescent="0.25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17"/>
    </row>
    <row r="277" spans="1:16" ht="15.75" customHeight="1" x14ac:dyDescent="0.25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17"/>
    </row>
    <row r="278" spans="1:16" ht="15.75" customHeight="1" x14ac:dyDescent="0.25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17"/>
    </row>
    <row r="279" spans="1:16" ht="15.75" customHeight="1" x14ac:dyDescent="0.25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17"/>
    </row>
    <row r="280" spans="1:16" ht="15.75" customHeight="1" x14ac:dyDescent="0.25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17"/>
    </row>
    <row r="281" spans="1:16" ht="15.75" customHeight="1" x14ac:dyDescent="0.25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17"/>
    </row>
    <row r="282" spans="1:16" ht="15.75" customHeight="1" x14ac:dyDescent="0.25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17"/>
    </row>
    <row r="283" spans="1:16" ht="15.75" customHeight="1" x14ac:dyDescent="0.25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17"/>
    </row>
    <row r="284" spans="1:16" ht="15.75" customHeight="1" x14ac:dyDescent="0.25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17"/>
    </row>
    <row r="285" spans="1:16" ht="15.75" customHeight="1" x14ac:dyDescent="0.2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17"/>
    </row>
    <row r="286" spans="1:16" ht="15.75" customHeight="1" x14ac:dyDescent="0.25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17"/>
    </row>
    <row r="287" spans="1:16" ht="15.75" customHeight="1" x14ac:dyDescent="0.25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17"/>
    </row>
    <row r="288" spans="1:16" ht="15.75" customHeight="1" x14ac:dyDescent="0.25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17"/>
    </row>
    <row r="289" spans="1:16" ht="15.75" customHeight="1" x14ac:dyDescent="0.25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17"/>
    </row>
    <row r="290" spans="1:16" ht="15.75" customHeight="1" x14ac:dyDescent="0.25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17"/>
    </row>
    <row r="291" spans="1:16" ht="15.75" customHeight="1" x14ac:dyDescent="0.25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17"/>
    </row>
    <row r="292" spans="1:16" ht="15.75" customHeight="1" x14ac:dyDescent="0.25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17"/>
    </row>
    <row r="293" spans="1:16" ht="15.75" customHeight="1" x14ac:dyDescent="0.25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17"/>
    </row>
    <row r="294" spans="1:16" ht="15.75" customHeight="1" x14ac:dyDescent="0.25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17"/>
    </row>
    <row r="295" spans="1:16" ht="15.75" customHeight="1" x14ac:dyDescent="0.2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17"/>
    </row>
    <row r="296" spans="1:16" ht="15.75" customHeight="1" x14ac:dyDescent="0.25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17"/>
    </row>
    <row r="297" spans="1:16" ht="15.75" customHeight="1" x14ac:dyDescent="0.25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17"/>
    </row>
    <row r="298" spans="1:16" ht="15.75" customHeight="1" x14ac:dyDescent="0.25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17"/>
    </row>
    <row r="299" spans="1:16" ht="15.75" customHeight="1" x14ac:dyDescent="0.25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17"/>
    </row>
    <row r="300" spans="1:16" ht="15.75" customHeight="1" x14ac:dyDescent="0.25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17"/>
    </row>
    <row r="301" spans="1:16" ht="15.75" customHeight="1" x14ac:dyDescent="0.25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17"/>
    </row>
    <row r="302" spans="1:16" ht="15.75" customHeight="1" x14ac:dyDescent="0.25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17"/>
    </row>
    <row r="303" spans="1:16" ht="15.75" customHeight="1" x14ac:dyDescent="0.25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17"/>
    </row>
    <row r="304" spans="1:16" ht="15.75" customHeight="1" x14ac:dyDescent="0.25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17"/>
    </row>
    <row r="305" spans="1:16" ht="15.75" customHeight="1" x14ac:dyDescent="0.2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17"/>
    </row>
    <row r="306" spans="1:16" ht="15.75" customHeight="1" x14ac:dyDescent="0.25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17"/>
    </row>
    <row r="307" spans="1:16" ht="15.75" customHeight="1" x14ac:dyDescent="0.25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17"/>
    </row>
    <row r="308" spans="1:16" ht="15.75" customHeight="1" x14ac:dyDescent="0.25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17"/>
    </row>
    <row r="309" spans="1:16" ht="15.75" customHeight="1" x14ac:dyDescent="0.25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17"/>
    </row>
    <row r="310" spans="1:16" ht="15.75" customHeight="1" x14ac:dyDescent="0.25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17"/>
    </row>
    <row r="311" spans="1:16" ht="15.75" customHeight="1" x14ac:dyDescent="0.25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17"/>
    </row>
    <row r="312" spans="1:16" ht="15.75" customHeight="1" x14ac:dyDescent="0.25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17"/>
    </row>
    <row r="313" spans="1:16" ht="15.75" customHeight="1" x14ac:dyDescent="0.25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17"/>
    </row>
    <row r="314" spans="1:16" ht="15.75" customHeight="1" x14ac:dyDescent="0.25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17"/>
    </row>
    <row r="315" spans="1:16" ht="15.75" customHeight="1" x14ac:dyDescent="0.2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17"/>
    </row>
    <row r="316" spans="1:16" ht="15.75" customHeight="1" x14ac:dyDescent="0.25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17"/>
    </row>
    <row r="317" spans="1:16" ht="15.75" customHeight="1" x14ac:dyDescent="0.25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17"/>
    </row>
    <row r="318" spans="1:16" ht="15.75" customHeight="1" x14ac:dyDescent="0.25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17"/>
    </row>
    <row r="319" spans="1:16" ht="15.75" customHeight="1" x14ac:dyDescent="0.25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17"/>
    </row>
    <row r="320" spans="1:16" ht="15.75" customHeight="1" x14ac:dyDescent="0.25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17"/>
    </row>
    <row r="321" spans="1:16" ht="15.75" customHeight="1" x14ac:dyDescent="0.25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17"/>
    </row>
    <row r="322" spans="1:16" ht="15.75" customHeight="1" x14ac:dyDescent="0.25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17"/>
    </row>
    <row r="323" spans="1:16" ht="15.75" customHeight="1" x14ac:dyDescent="0.25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17"/>
    </row>
    <row r="324" spans="1:16" ht="15.75" customHeight="1" x14ac:dyDescent="0.25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17"/>
    </row>
    <row r="325" spans="1:16" ht="15.75" customHeight="1" x14ac:dyDescent="0.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17"/>
    </row>
    <row r="326" spans="1:16" ht="15.75" customHeight="1" x14ac:dyDescent="0.25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17"/>
    </row>
    <row r="327" spans="1:16" ht="15.75" customHeight="1" x14ac:dyDescent="0.25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17"/>
    </row>
    <row r="328" spans="1:16" ht="15.75" customHeight="1" x14ac:dyDescent="0.25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17"/>
    </row>
    <row r="329" spans="1:16" ht="15.75" customHeight="1" x14ac:dyDescent="0.25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17"/>
    </row>
    <row r="330" spans="1:16" ht="15.75" customHeight="1" x14ac:dyDescent="0.25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17"/>
    </row>
    <row r="331" spans="1:16" ht="15.75" customHeight="1" x14ac:dyDescent="0.25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17"/>
    </row>
    <row r="332" spans="1:16" ht="15.75" customHeight="1" x14ac:dyDescent="0.25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17"/>
    </row>
    <row r="333" spans="1:16" ht="15.75" customHeight="1" x14ac:dyDescent="0.25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17"/>
    </row>
    <row r="334" spans="1:16" ht="15.75" customHeight="1" x14ac:dyDescent="0.25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17"/>
    </row>
    <row r="335" spans="1:16" ht="15.75" customHeight="1" x14ac:dyDescent="0.2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17"/>
    </row>
    <row r="336" spans="1:16" ht="15.75" customHeight="1" x14ac:dyDescent="0.25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17"/>
    </row>
    <row r="337" spans="1:16" ht="15.75" customHeight="1" x14ac:dyDescent="0.25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17"/>
    </row>
    <row r="338" spans="1:16" ht="15.75" customHeight="1" x14ac:dyDescent="0.25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17"/>
    </row>
    <row r="339" spans="1:16" ht="15.75" customHeight="1" x14ac:dyDescent="0.25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17"/>
    </row>
    <row r="340" spans="1:16" ht="15.75" customHeight="1" x14ac:dyDescent="0.25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17"/>
    </row>
    <row r="341" spans="1:16" ht="15.75" customHeight="1" x14ac:dyDescent="0.25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17"/>
    </row>
    <row r="342" spans="1:16" ht="15.75" customHeight="1" x14ac:dyDescent="0.25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17"/>
    </row>
    <row r="343" spans="1:16" ht="15.75" customHeight="1" x14ac:dyDescent="0.25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17"/>
    </row>
    <row r="344" spans="1:16" ht="15.75" customHeight="1" x14ac:dyDescent="0.25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17"/>
    </row>
    <row r="345" spans="1:16" ht="15.75" customHeight="1" x14ac:dyDescent="0.2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17"/>
    </row>
    <row r="346" spans="1:16" ht="15.75" customHeight="1" x14ac:dyDescent="0.25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17"/>
    </row>
    <row r="347" spans="1:16" ht="15.75" customHeight="1" x14ac:dyDescent="0.25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17"/>
    </row>
    <row r="348" spans="1:16" ht="15.75" customHeight="1" x14ac:dyDescent="0.25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17"/>
    </row>
    <row r="349" spans="1:16" ht="15.75" customHeight="1" x14ac:dyDescent="0.25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17"/>
    </row>
    <row r="350" spans="1:16" ht="15.75" customHeight="1" x14ac:dyDescent="0.25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17"/>
    </row>
    <row r="351" spans="1:16" ht="15.75" customHeight="1" x14ac:dyDescent="0.25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17"/>
    </row>
    <row r="352" spans="1:16" ht="15.75" customHeight="1" x14ac:dyDescent="0.25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17"/>
    </row>
    <row r="353" spans="1:16" ht="15.75" customHeight="1" x14ac:dyDescent="0.25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17"/>
    </row>
    <row r="354" spans="1:16" ht="15.75" customHeight="1" x14ac:dyDescent="0.25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17"/>
    </row>
    <row r="355" spans="1:16" ht="15.75" customHeight="1" x14ac:dyDescent="0.2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17"/>
    </row>
    <row r="356" spans="1:16" ht="15.75" customHeight="1" x14ac:dyDescent="0.25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17"/>
    </row>
    <row r="357" spans="1:16" ht="15.75" customHeight="1" x14ac:dyDescent="0.25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17"/>
    </row>
    <row r="358" spans="1:16" ht="15.75" customHeight="1" x14ac:dyDescent="0.25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17"/>
    </row>
    <row r="359" spans="1:16" ht="15.75" customHeight="1" x14ac:dyDescent="0.25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17"/>
    </row>
    <row r="360" spans="1:16" ht="15.75" customHeight="1" x14ac:dyDescent="0.25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17"/>
    </row>
    <row r="361" spans="1:16" ht="15.75" customHeight="1" x14ac:dyDescent="0.25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17"/>
    </row>
    <row r="362" spans="1:16" ht="15.75" customHeight="1" x14ac:dyDescent="0.25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17"/>
    </row>
    <row r="363" spans="1:16" ht="15.75" customHeight="1" x14ac:dyDescent="0.25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17"/>
    </row>
    <row r="364" spans="1:16" ht="15.75" customHeight="1" x14ac:dyDescent="0.25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17"/>
    </row>
    <row r="365" spans="1:16" ht="15.75" customHeight="1" x14ac:dyDescent="0.2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17"/>
    </row>
    <row r="366" spans="1:16" ht="15.75" customHeight="1" x14ac:dyDescent="0.25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17"/>
    </row>
    <row r="367" spans="1:16" ht="15.75" customHeight="1" x14ac:dyDescent="0.25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17"/>
    </row>
    <row r="368" spans="1:16" ht="15.75" customHeight="1" x14ac:dyDescent="0.25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17"/>
    </row>
    <row r="369" spans="1:16" ht="15.75" customHeight="1" x14ac:dyDescent="0.25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17"/>
    </row>
    <row r="370" spans="1:16" ht="15.75" customHeight="1" x14ac:dyDescent="0.25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17"/>
    </row>
    <row r="371" spans="1:16" ht="15.75" customHeight="1" x14ac:dyDescent="0.25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17"/>
    </row>
    <row r="372" spans="1:16" ht="15.75" customHeight="1" x14ac:dyDescent="0.25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17"/>
    </row>
    <row r="373" spans="1:16" ht="15.75" customHeight="1" x14ac:dyDescent="0.25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17"/>
    </row>
    <row r="374" spans="1:16" ht="15.75" customHeight="1" x14ac:dyDescent="0.25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17"/>
    </row>
    <row r="375" spans="1:16" ht="15.75" customHeight="1" x14ac:dyDescent="0.2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17"/>
    </row>
    <row r="376" spans="1:16" ht="15.75" customHeight="1" x14ac:dyDescent="0.25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17"/>
    </row>
    <row r="377" spans="1:16" ht="15.75" customHeight="1" x14ac:dyDescent="0.25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17"/>
    </row>
    <row r="378" spans="1:16" ht="15.75" customHeight="1" x14ac:dyDescent="0.25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17"/>
    </row>
    <row r="379" spans="1:16" ht="15.75" customHeight="1" x14ac:dyDescent="0.25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17"/>
    </row>
    <row r="380" spans="1:16" ht="15.75" customHeight="1" x14ac:dyDescent="0.25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17"/>
    </row>
    <row r="381" spans="1:16" ht="15.75" customHeight="1" x14ac:dyDescent="0.25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17"/>
    </row>
    <row r="382" spans="1:16" ht="15.75" customHeight="1" x14ac:dyDescent="0.25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17"/>
    </row>
    <row r="383" spans="1:16" ht="15.75" customHeight="1" x14ac:dyDescent="0.25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17"/>
    </row>
    <row r="384" spans="1:16" ht="15.75" customHeight="1" x14ac:dyDescent="0.25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17"/>
    </row>
    <row r="385" spans="1:16" ht="15.75" customHeight="1" x14ac:dyDescent="0.2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17"/>
    </row>
    <row r="386" spans="1:16" ht="15.75" customHeight="1" x14ac:dyDescent="0.25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17"/>
    </row>
    <row r="387" spans="1:16" ht="15.75" customHeight="1" x14ac:dyDescent="0.25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17"/>
    </row>
    <row r="388" spans="1:16" ht="15.75" customHeight="1" x14ac:dyDescent="0.25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17"/>
    </row>
    <row r="389" spans="1:16" ht="15.75" customHeight="1" x14ac:dyDescent="0.25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17"/>
    </row>
    <row r="390" spans="1:16" ht="15.75" customHeight="1" x14ac:dyDescent="0.25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17"/>
    </row>
    <row r="391" spans="1:16" ht="15.75" customHeight="1" x14ac:dyDescent="0.25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17"/>
    </row>
    <row r="392" spans="1:16" ht="15.75" customHeight="1" x14ac:dyDescent="0.25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17"/>
    </row>
    <row r="393" spans="1:16" ht="15.75" customHeight="1" x14ac:dyDescent="0.25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17"/>
    </row>
    <row r="394" spans="1:16" ht="15.75" customHeight="1" x14ac:dyDescent="0.25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17"/>
    </row>
    <row r="395" spans="1:16" ht="15.75" customHeight="1" x14ac:dyDescent="0.2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17"/>
    </row>
    <row r="396" spans="1:16" ht="15.75" customHeight="1" x14ac:dyDescent="0.25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17"/>
    </row>
    <row r="397" spans="1:16" ht="15.75" customHeight="1" x14ac:dyDescent="0.25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17"/>
    </row>
    <row r="398" spans="1:16" ht="15.75" customHeight="1" x14ac:dyDescent="0.25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17"/>
    </row>
    <row r="399" spans="1:16" ht="15.75" customHeight="1" x14ac:dyDescent="0.25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17"/>
    </row>
    <row r="400" spans="1:16" ht="15.75" customHeight="1" x14ac:dyDescent="0.25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17"/>
    </row>
    <row r="401" spans="1:16" ht="15.75" customHeight="1" x14ac:dyDescent="0.25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17"/>
    </row>
    <row r="402" spans="1:16" ht="15.75" customHeight="1" x14ac:dyDescent="0.25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17"/>
    </row>
    <row r="403" spans="1:16" ht="15.75" customHeight="1" x14ac:dyDescent="0.25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17"/>
    </row>
    <row r="404" spans="1:16" ht="15.75" customHeight="1" x14ac:dyDescent="0.25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17"/>
    </row>
    <row r="405" spans="1:16" ht="15.75" customHeight="1" x14ac:dyDescent="0.2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17"/>
    </row>
    <row r="406" spans="1:16" ht="15.75" customHeight="1" x14ac:dyDescent="0.25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17"/>
    </row>
    <row r="407" spans="1:16" ht="15.75" customHeight="1" x14ac:dyDescent="0.25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17"/>
    </row>
    <row r="408" spans="1:16" ht="15.75" customHeight="1" x14ac:dyDescent="0.25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17"/>
    </row>
    <row r="409" spans="1:16" ht="15.75" customHeight="1" x14ac:dyDescent="0.25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17"/>
    </row>
    <row r="410" spans="1:16" ht="15.75" customHeight="1" x14ac:dyDescent="0.25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17"/>
    </row>
    <row r="411" spans="1:16" ht="15.75" customHeight="1" x14ac:dyDescent="0.25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17"/>
    </row>
    <row r="412" spans="1:16" ht="15.75" customHeight="1" x14ac:dyDescent="0.25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17"/>
    </row>
    <row r="413" spans="1:16" ht="15.75" customHeight="1" x14ac:dyDescent="0.25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17"/>
    </row>
    <row r="414" spans="1:16" ht="15.75" customHeight="1" x14ac:dyDescent="0.25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17"/>
    </row>
    <row r="415" spans="1:16" ht="15.75" customHeight="1" x14ac:dyDescent="0.2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17"/>
    </row>
    <row r="416" spans="1:16" ht="15.75" customHeight="1" x14ac:dyDescent="0.25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17"/>
    </row>
    <row r="417" spans="1:16" ht="15.75" customHeight="1" x14ac:dyDescent="0.25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17"/>
    </row>
    <row r="418" spans="1:16" ht="15.75" customHeight="1" x14ac:dyDescent="0.25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17"/>
    </row>
    <row r="419" spans="1:16" ht="15.75" customHeight="1" x14ac:dyDescent="0.25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17"/>
    </row>
    <row r="420" spans="1:16" ht="15.75" customHeight="1" x14ac:dyDescent="0.25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17"/>
    </row>
    <row r="421" spans="1:16" ht="15.75" customHeight="1" x14ac:dyDescent="0.25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17"/>
    </row>
    <row r="422" spans="1:16" ht="15.75" customHeight="1" x14ac:dyDescent="0.25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17"/>
    </row>
    <row r="423" spans="1:16" ht="15.75" customHeight="1" x14ac:dyDescent="0.25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17"/>
    </row>
    <row r="424" spans="1:16" ht="15.75" customHeight="1" x14ac:dyDescent="0.25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17"/>
    </row>
    <row r="425" spans="1:16" ht="15.75" customHeight="1" x14ac:dyDescent="0.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17"/>
    </row>
    <row r="426" spans="1:16" ht="15.75" customHeight="1" x14ac:dyDescent="0.25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17"/>
    </row>
    <row r="427" spans="1:16" ht="15.75" customHeight="1" x14ac:dyDescent="0.25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17"/>
    </row>
    <row r="428" spans="1:16" ht="15.75" customHeight="1" x14ac:dyDescent="0.25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17"/>
    </row>
    <row r="429" spans="1:16" ht="15.75" customHeight="1" x14ac:dyDescent="0.25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17"/>
    </row>
    <row r="430" spans="1:16" ht="15.75" customHeight="1" x14ac:dyDescent="0.25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17"/>
    </row>
    <row r="431" spans="1:16" ht="15.75" customHeight="1" x14ac:dyDescent="0.25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17"/>
    </row>
    <row r="432" spans="1:16" ht="15.75" customHeight="1" x14ac:dyDescent="0.25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17"/>
    </row>
    <row r="433" spans="1:16" ht="15.75" customHeight="1" x14ac:dyDescent="0.25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17"/>
    </row>
    <row r="434" spans="1:16" ht="15.75" customHeight="1" x14ac:dyDescent="0.25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17"/>
    </row>
    <row r="435" spans="1:16" ht="15.75" customHeight="1" x14ac:dyDescent="0.2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17"/>
    </row>
    <row r="436" spans="1:16" ht="15.75" customHeight="1" x14ac:dyDescent="0.25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17"/>
    </row>
    <row r="437" spans="1:16" ht="15.75" customHeight="1" x14ac:dyDescent="0.25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17"/>
    </row>
    <row r="438" spans="1:16" ht="15.75" customHeight="1" x14ac:dyDescent="0.25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17"/>
    </row>
    <row r="439" spans="1:16" ht="15.75" customHeight="1" x14ac:dyDescent="0.25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17"/>
    </row>
    <row r="440" spans="1:16" ht="15.75" customHeight="1" x14ac:dyDescent="0.25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17"/>
    </row>
    <row r="441" spans="1:16" ht="15.75" customHeight="1" x14ac:dyDescent="0.25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17"/>
    </row>
    <row r="442" spans="1:16" ht="15.75" customHeight="1" x14ac:dyDescent="0.25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17"/>
    </row>
    <row r="443" spans="1:16" ht="15.75" customHeight="1" x14ac:dyDescent="0.25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17"/>
    </row>
    <row r="444" spans="1:16" ht="15.75" customHeight="1" x14ac:dyDescent="0.25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17"/>
    </row>
    <row r="445" spans="1:16" ht="15.75" customHeight="1" x14ac:dyDescent="0.2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17"/>
    </row>
    <row r="446" spans="1:16" ht="15.75" customHeight="1" x14ac:dyDescent="0.25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17"/>
    </row>
    <row r="447" spans="1:16" ht="15.75" customHeight="1" x14ac:dyDescent="0.25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17"/>
    </row>
    <row r="448" spans="1:16" ht="15.75" customHeight="1" x14ac:dyDescent="0.25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17"/>
    </row>
    <row r="449" spans="1:16" ht="15.75" customHeight="1" x14ac:dyDescent="0.25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17"/>
    </row>
    <row r="450" spans="1:16" ht="15.75" customHeight="1" x14ac:dyDescent="0.25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17"/>
    </row>
    <row r="451" spans="1:16" ht="15.75" customHeight="1" x14ac:dyDescent="0.25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17"/>
    </row>
    <row r="452" spans="1:16" ht="15.75" customHeight="1" x14ac:dyDescent="0.25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17"/>
    </row>
    <row r="453" spans="1:16" ht="15.75" customHeight="1" x14ac:dyDescent="0.25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17"/>
    </row>
    <row r="454" spans="1:16" ht="15.75" customHeight="1" x14ac:dyDescent="0.25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17"/>
    </row>
    <row r="455" spans="1:16" ht="15.75" customHeight="1" x14ac:dyDescent="0.2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17"/>
    </row>
    <row r="456" spans="1:16" ht="15.75" customHeight="1" x14ac:dyDescent="0.25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17"/>
    </row>
    <row r="457" spans="1:16" ht="15.75" customHeight="1" x14ac:dyDescent="0.25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17"/>
    </row>
    <row r="458" spans="1:16" ht="15.75" customHeight="1" x14ac:dyDescent="0.25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17"/>
    </row>
    <row r="459" spans="1:16" ht="15.75" customHeight="1" x14ac:dyDescent="0.25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17"/>
    </row>
    <row r="460" spans="1:16" ht="15.75" customHeight="1" x14ac:dyDescent="0.25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17"/>
    </row>
    <row r="461" spans="1:16" ht="15.75" customHeight="1" x14ac:dyDescent="0.25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17"/>
    </row>
    <row r="462" spans="1:16" ht="15.75" customHeight="1" x14ac:dyDescent="0.25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17"/>
    </row>
    <row r="463" spans="1:16" ht="15.75" customHeight="1" x14ac:dyDescent="0.25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17"/>
    </row>
    <row r="464" spans="1:16" ht="15.75" customHeight="1" x14ac:dyDescent="0.25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17"/>
    </row>
    <row r="465" spans="1:16" ht="15.75" customHeight="1" x14ac:dyDescent="0.2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17"/>
    </row>
    <row r="466" spans="1:16" ht="15.75" customHeight="1" x14ac:dyDescent="0.25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17"/>
    </row>
    <row r="467" spans="1:16" ht="15.75" customHeight="1" x14ac:dyDescent="0.25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17"/>
    </row>
    <row r="468" spans="1:16" ht="15.75" customHeight="1" x14ac:dyDescent="0.25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17"/>
    </row>
    <row r="469" spans="1:16" ht="15.75" customHeight="1" x14ac:dyDescent="0.25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17"/>
    </row>
    <row r="470" spans="1:16" ht="15.75" customHeight="1" x14ac:dyDescent="0.25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17"/>
    </row>
    <row r="471" spans="1:16" ht="15.75" customHeight="1" x14ac:dyDescent="0.25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17"/>
    </row>
    <row r="472" spans="1:16" ht="15.75" customHeight="1" x14ac:dyDescent="0.25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17"/>
    </row>
    <row r="473" spans="1:16" ht="15.75" customHeight="1" x14ac:dyDescent="0.25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17"/>
    </row>
    <row r="474" spans="1:16" ht="15.75" customHeight="1" x14ac:dyDescent="0.25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17"/>
    </row>
    <row r="475" spans="1:16" ht="15.75" customHeight="1" x14ac:dyDescent="0.2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17"/>
    </row>
    <row r="476" spans="1:16" ht="15.75" customHeight="1" x14ac:dyDescent="0.25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17"/>
    </row>
    <row r="477" spans="1:16" ht="15.75" customHeight="1" x14ac:dyDescent="0.25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17"/>
    </row>
    <row r="478" spans="1:16" ht="15.75" customHeight="1" x14ac:dyDescent="0.25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17"/>
    </row>
    <row r="479" spans="1:16" ht="15.75" customHeight="1" x14ac:dyDescent="0.25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17"/>
    </row>
    <row r="480" spans="1:16" ht="15.75" customHeight="1" x14ac:dyDescent="0.25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17"/>
    </row>
    <row r="481" spans="1:16" ht="15.75" customHeight="1" x14ac:dyDescent="0.25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17"/>
    </row>
    <row r="482" spans="1:16" ht="15.75" customHeight="1" x14ac:dyDescent="0.25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17"/>
    </row>
    <row r="483" spans="1:16" ht="15.75" customHeight="1" x14ac:dyDescent="0.25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17"/>
    </row>
    <row r="484" spans="1:16" ht="15.75" customHeight="1" x14ac:dyDescent="0.25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17"/>
    </row>
    <row r="485" spans="1:16" ht="15.75" customHeight="1" x14ac:dyDescent="0.2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17"/>
    </row>
    <row r="486" spans="1:16" ht="15.75" customHeight="1" x14ac:dyDescent="0.25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17"/>
    </row>
    <row r="487" spans="1:16" ht="15.75" customHeight="1" x14ac:dyDescent="0.25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17"/>
    </row>
    <row r="488" spans="1:16" ht="15.75" customHeight="1" x14ac:dyDescent="0.25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17"/>
    </row>
    <row r="489" spans="1:16" ht="15.75" customHeight="1" x14ac:dyDescent="0.25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17"/>
    </row>
    <row r="490" spans="1:16" ht="15.75" customHeight="1" x14ac:dyDescent="0.25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17"/>
    </row>
    <row r="491" spans="1:16" ht="15.75" customHeight="1" x14ac:dyDescent="0.25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17"/>
    </row>
    <row r="492" spans="1:16" ht="15.75" customHeight="1" x14ac:dyDescent="0.25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17"/>
    </row>
    <row r="493" spans="1:16" ht="15.75" customHeight="1" x14ac:dyDescent="0.25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17"/>
    </row>
    <row r="494" spans="1:16" ht="15.75" customHeight="1" x14ac:dyDescent="0.25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17"/>
    </row>
    <row r="495" spans="1:16" ht="15.75" customHeight="1" x14ac:dyDescent="0.2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17"/>
    </row>
    <row r="496" spans="1:16" ht="15.75" customHeight="1" x14ac:dyDescent="0.25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17"/>
    </row>
    <row r="497" spans="1:16" ht="15.75" customHeight="1" x14ac:dyDescent="0.25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17"/>
    </row>
    <row r="498" spans="1:16" ht="15.75" customHeight="1" x14ac:dyDescent="0.25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17"/>
    </row>
    <row r="499" spans="1:16" ht="15.75" customHeight="1" x14ac:dyDescent="0.25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17"/>
    </row>
    <row r="500" spans="1:16" ht="15.75" customHeight="1" x14ac:dyDescent="0.25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17"/>
    </row>
    <row r="501" spans="1:16" ht="15.75" customHeight="1" x14ac:dyDescent="0.25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17"/>
    </row>
    <row r="502" spans="1:16" ht="15.75" customHeight="1" x14ac:dyDescent="0.25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17"/>
    </row>
    <row r="503" spans="1:16" ht="15.75" customHeight="1" x14ac:dyDescent="0.25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17"/>
    </row>
    <row r="504" spans="1:16" ht="15.75" customHeight="1" x14ac:dyDescent="0.25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17"/>
    </row>
    <row r="505" spans="1:16" ht="15.75" customHeight="1" x14ac:dyDescent="0.2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17"/>
    </row>
    <row r="506" spans="1:16" ht="15.75" customHeight="1" x14ac:dyDescent="0.25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17"/>
    </row>
    <row r="507" spans="1:16" ht="15.75" customHeight="1" x14ac:dyDescent="0.25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17"/>
    </row>
    <row r="508" spans="1:16" ht="15.75" customHeight="1" x14ac:dyDescent="0.25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17"/>
    </row>
    <row r="509" spans="1:16" ht="15.75" customHeight="1" x14ac:dyDescent="0.25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17"/>
    </row>
    <row r="510" spans="1:16" ht="15.75" customHeight="1" x14ac:dyDescent="0.25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17"/>
    </row>
    <row r="511" spans="1:16" ht="15.75" customHeight="1" x14ac:dyDescent="0.25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17"/>
    </row>
    <row r="512" spans="1:16" ht="15.75" customHeight="1" x14ac:dyDescent="0.25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17"/>
    </row>
    <row r="513" spans="1:16" ht="15.75" customHeight="1" x14ac:dyDescent="0.25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17"/>
    </row>
    <row r="514" spans="1:16" ht="15.75" customHeight="1" x14ac:dyDescent="0.25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17"/>
    </row>
    <row r="515" spans="1:16" ht="15.75" customHeight="1" x14ac:dyDescent="0.2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17"/>
    </row>
    <row r="516" spans="1:16" ht="15.75" customHeight="1" x14ac:dyDescent="0.25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17"/>
    </row>
    <row r="517" spans="1:16" ht="15.75" customHeight="1" x14ac:dyDescent="0.25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17"/>
    </row>
    <row r="518" spans="1:16" ht="15.75" customHeight="1" x14ac:dyDescent="0.25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17"/>
    </row>
    <row r="519" spans="1:16" ht="15.75" customHeight="1" x14ac:dyDescent="0.25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17"/>
    </row>
    <row r="520" spans="1:16" ht="15.75" customHeight="1" x14ac:dyDescent="0.25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17"/>
    </row>
    <row r="521" spans="1:16" ht="15.75" customHeight="1" x14ac:dyDescent="0.25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17"/>
    </row>
    <row r="522" spans="1:16" ht="15.75" customHeight="1" x14ac:dyDescent="0.25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17"/>
    </row>
    <row r="523" spans="1:16" ht="15.75" customHeight="1" x14ac:dyDescent="0.25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17"/>
    </row>
    <row r="524" spans="1:16" ht="15.75" customHeight="1" x14ac:dyDescent="0.25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17"/>
    </row>
    <row r="525" spans="1:16" ht="15.75" customHeight="1" x14ac:dyDescent="0.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17"/>
    </row>
    <row r="526" spans="1:16" ht="15.75" customHeight="1" x14ac:dyDescent="0.25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17"/>
    </row>
    <row r="527" spans="1:16" ht="15.75" customHeight="1" x14ac:dyDescent="0.25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17"/>
    </row>
    <row r="528" spans="1:16" ht="15.75" customHeight="1" x14ac:dyDescent="0.25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17"/>
    </row>
    <row r="529" spans="1:16" ht="15.75" customHeight="1" x14ac:dyDescent="0.25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17"/>
    </row>
    <row r="530" spans="1:16" ht="15.75" customHeight="1" x14ac:dyDescent="0.25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17"/>
    </row>
    <row r="531" spans="1:16" ht="15.75" customHeight="1" x14ac:dyDescent="0.25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17"/>
    </row>
    <row r="532" spans="1:16" ht="15.75" customHeight="1" x14ac:dyDescent="0.25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17"/>
    </row>
    <row r="533" spans="1:16" ht="15.75" customHeight="1" x14ac:dyDescent="0.25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17"/>
    </row>
    <row r="534" spans="1:16" ht="15.75" customHeight="1" x14ac:dyDescent="0.25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17"/>
    </row>
    <row r="535" spans="1:16" ht="15.75" customHeight="1" x14ac:dyDescent="0.2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17"/>
    </row>
    <row r="536" spans="1:16" ht="15.75" customHeight="1" x14ac:dyDescent="0.25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17"/>
    </row>
    <row r="537" spans="1:16" ht="15.75" customHeight="1" x14ac:dyDescent="0.25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17"/>
    </row>
    <row r="538" spans="1:16" ht="15.75" customHeight="1" x14ac:dyDescent="0.25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17"/>
    </row>
    <row r="539" spans="1:16" ht="15.75" customHeight="1" x14ac:dyDescent="0.25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17"/>
    </row>
    <row r="540" spans="1:16" ht="15.75" customHeight="1" x14ac:dyDescent="0.25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17"/>
    </row>
    <row r="541" spans="1:16" ht="15.75" customHeight="1" x14ac:dyDescent="0.25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17"/>
    </row>
    <row r="542" spans="1:16" ht="15.75" customHeight="1" x14ac:dyDescent="0.25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17"/>
    </row>
    <row r="543" spans="1:16" ht="15.75" customHeight="1" x14ac:dyDescent="0.25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17"/>
    </row>
    <row r="544" spans="1:16" ht="15.75" customHeight="1" x14ac:dyDescent="0.25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17"/>
    </row>
    <row r="545" spans="1:16" ht="15.75" customHeight="1" x14ac:dyDescent="0.2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17"/>
    </row>
    <row r="546" spans="1:16" ht="15.75" customHeight="1" x14ac:dyDescent="0.25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17"/>
    </row>
    <row r="547" spans="1:16" ht="15.75" customHeight="1" x14ac:dyDescent="0.25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17"/>
    </row>
    <row r="548" spans="1:16" ht="15.75" customHeight="1" x14ac:dyDescent="0.25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17"/>
    </row>
    <row r="549" spans="1:16" ht="15.75" customHeight="1" x14ac:dyDescent="0.25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17"/>
    </row>
    <row r="550" spans="1:16" ht="15.75" customHeight="1" x14ac:dyDescent="0.25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17"/>
    </row>
    <row r="551" spans="1:16" ht="15.75" customHeight="1" x14ac:dyDescent="0.25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17"/>
    </row>
    <row r="552" spans="1:16" ht="15.75" customHeight="1" x14ac:dyDescent="0.25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17"/>
    </row>
    <row r="553" spans="1:16" ht="15.75" customHeight="1" x14ac:dyDescent="0.25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17"/>
    </row>
    <row r="554" spans="1:16" ht="15.75" customHeight="1" x14ac:dyDescent="0.25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17"/>
    </row>
    <row r="555" spans="1:16" ht="15.75" customHeight="1" x14ac:dyDescent="0.2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17"/>
    </row>
    <row r="556" spans="1:16" ht="15.75" customHeight="1" x14ac:dyDescent="0.25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17"/>
    </row>
    <row r="557" spans="1:16" ht="15.75" customHeight="1" x14ac:dyDescent="0.25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17"/>
    </row>
    <row r="558" spans="1:16" ht="15.75" customHeight="1" x14ac:dyDescent="0.25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17"/>
    </row>
    <row r="559" spans="1:16" ht="15.75" customHeight="1" x14ac:dyDescent="0.25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17"/>
    </row>
    <row r="560" spans="1:16" ht="15.75" customHeight="1" x14ac:dyDescent="0.25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17"/>
    </row>
    <row r="561" spans="1:16" ht="15.75" customHeight="1" x14ac:dyDescent="0.25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17"/>
    </row>
    <row r="562" spans="1:16" ht="15.75" customHeight="1" x14ac:dyDescent="0.25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17"/>
    </row>
    <row r="563" spans="1:16" ht="15.75" customHeight="1" x14ac:dyDescent="0.25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17"/>
    </row>
    <row r="564" spans="1:16" ht="15.75" customHeight="1" x14ac:dyDescent="0.25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17"/>
    </row>
    <row r="565" spans="1:16" ht="15.75" customHeight="1" x14ac:dyDescent="0.2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17"/>
    </row>
    <row r="566" spans="1:16" ht="15.75" customHeight="1" x14ac:dyDescent="0.25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17"/>
    </row>
    <row r="567" spans="1:16" ht="15.75" customHeight="1" x14ac:dyDescent="0.25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17"/>
    </row>
    <row r="568" spans="1:16" ht="15.75" customHeight="1" x14ac:dyDescent="0.25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17"/>
    </row>
    <row r="569" spans="1:16" ht="15.75" customHeight="1" x14ac:dyDescent="0.25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17"/>
    </row>
    <row r="570" spans="1:16" ht="15.75" customHeight="1" x14ac:dyDescent="0.25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17"/>
    </row>
    <row r="571" spans="1:16" ht="15.75" customHeight="1" x14ac:dyDescent="0.25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17"/>
    </row>
    <row r="572" spans="1:16" ht="15.75" customHeight="1" x14ac:dyDescent="0.25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17"/>
    </row>
    <row r="573" spans="1:16" ht="15.75" customHeight="1" x14ac:dyDescent="0.25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17"/>
    </row>
    <row r="574" spans="1:16" ht="15.75" customHeight="1" x14ac:dyDescent="0.25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17"/>
    </row>
    <row r="575" spans="1:16" ht="15.75" customHeight="1" x14ac:dyDescent="0.2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17"/>
    </row>
    <row r="576" spans="1:16" ht="15.75" customHeight="1" x14ac:dyDescent="0.25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17"/>
    </row>
    <row r="577" spans="1:16" ht="15.75" customHeight="1" x14ac:dyDescent="0.25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17"/>
    </row>
    <row r="578" spans="1:16" ht="15.75" customHeight="1" x14ac:dyDescent="0.25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17"/>
    </row>
    <row r="579" spans="1:16" ht="15.75" customHeight="1" x14ac:dyDescent="0.25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17"/>
    </row>
    <row r="580" spans="1:16" ht="15.75" customHeight="1" x14ac:dyDescent="0.25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17"/>
    </row>
    <row r="581" spans="1:16" ht="15.75" customHeight="1" x14ac:dyDescent="0.25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17"/>
    </row>
    <row r="582" spans="1:16" ht="15.75" customHeight="1" x14ac:dyDescent="0.25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17"/>
    </row>
    <row r="583" spans="1:16" ht="15.75" customHeight="1" x14ac:dyDescent="0.25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17"/>
    </row>
    <row r="584" spans="1:16" ht="15.75" customHeight="1" x14ac:dyDescent="0.25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17"/>
    </row>
    <row r="585" spans="1:16" ht="15.75" customHeight="1" x14ac:dyDescent="0.2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17"/>
    </row>
    <row r="586" spans="1:16" ht="15.75" customHeight="1" x14ac:dyDescent="0.25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17"/>
    </row>
    <row r="587" spans="1:16" ht="15.75" customHeight="1" x14ac:dyDescent="0.25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17"/>
    </row>
    <row r="588" spans="1:16" ht="15.75" customHeight="1" x14ac:dyDescent="0.25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17"/>
    </row>
    <row r="589" spans="1:16" ht="15.75" customHeight="1" x14ac:dyDescent="0.25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17"/>
    </row>
    <row r="590" spans="1:16" ht="15.75" customHeight="1" x14ac:dyDescent="0.25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17"/>
    </row>
    <row r="591" spans="1:16" ht="15.75" customHeight="1" x14ac:dyDescent="0.25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17"/>
    </row>
    <row r="592" spans="1:16" ht="15.75" customHeight="1" x14ac:dyDescent="0.25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17"/>
    </row>
    <row r="593" spans="1:16" ht="15.75" customHeight="1" x14ac:dyDescent="0.25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17"/>
    </row>
    <row r="594" spans="1:16" ht="15.75" customHeight="1" x14ac:dyDescent="0.25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17"/>
    </row>
    <row r="595" spans="1:16" ht="15.75" customHeight="1" x14ac:dyDescent="0.2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17"/>
    </row>
    <row r="596" spans="1:16" ht="15.75" customHeight="1" x14ac:dyDescent="0.25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17"/>
    </row>
    <row r="597" spans="1:16" ht="15.75" customHeight="1" x14ac:dyDescent="0.25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17"/>
    </row>
    <row r="598" spans="1:16" ht="15.75" customHeight="1" x14ac:dyDescent="0.25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17"/>
    </row>
    <row r="599" spans="1:16" ht="15.75" customHeight="1" x14ac:dyDescent="0.25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17"/>
    </row>
    <row r="600" spans="1:16" ht="15.75" customHeight="1" x14ac:dyDescent="0.25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17"/>
    </row>
    <row r="601" spans="1:16" ht="15.75" customHeight="1" x14ac:dyDescent="0.25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17"/>
    </row>
    <row r="602" spans="1:16" ht="15.75" customHeight="1" x14ac:dyDescent="0.25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17"/>
    </row>
    <row r="603" spans="1:16" ht="15.75" customHeight="1" x14ac:dyDescent="0.25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17"/>
    </row>
    <row r="604" spans="1:16" ht="15.75" customHeight="1" x14ac:dyDescent="0.25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17"/>
    </row>
    <row r="605" spans="1:16" ht="15.75" customHeight="1" x14ac:dyDescent="0.2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17"/>
    </row>
    <row r="606" spans="1:16" ht="15.75" customHeight="1" x14ac:dyDescent="0.25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17"/>
    </row>
    <row r="607" spans="1:16" ht="15.75" customHeight="1" x14ac:dyDescent="0.25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17"/>
    </row>
    <row r="608" spans="1:16" ht="15.75" customHeight="1" x14ac:dyDescent="0.25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17"/>
    </row>
    <row r="609" spans="1:16" ht="15.75" customHeight="1" x14ac:dyDescent="0.25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17"/>
    </row>
    <row r="610" spans="1:16" ht="15.75" customHeight="1" x14ac:dyDescent="0.25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17"/>
    </row>
    <row r="611" spans="1:16" ht="15.75" customHeight="1" x14ac:dyDescent="0.25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17"/>
    </row>
    <row r="612" spans="1:16" ht="15.75" customHeight="1" x14ac:dyDescent="0.25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17"/>
    </row>
    <row r="613" spans="1:16" ht="15.75" customHeight="1" x14ac:dyDescent="0.25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17"/>
    </row>
    <row r="614" spans="1:16" ht="15.75" customHeight="1" x14ac:dyDescent="0.25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17"/>
    </row>
    <row r="615" spans="1:16" ht="15.75" customHeight="1" x14ac:dyDescent="0.2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17"/>
    </row>
    <row r="616" spans="1:16" ht="15.75" customHeight="1" x14ac:dyDescent="0.25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17"/>
    </row>
    <row r="617" spans="1:16" ht="15.75" customHeight="1" x14ac:dyDescent="0.25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17"/>
    </row>
    <row r="618" spans="1:16" ht="15.75" customHeight="1" x14ac:dyDescent="0.25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17"/>
    </row>
    <row r="619" spans="1:16" ht="15.75" customHeight="1" x14ac:dyDescent="0.25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17"/>
    </row>
    <row r="620" spans="1:16" ht="15.75" customHeight="1" x14ac:dyDescent="0.25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17"/>
    </row>
    <row r="621" spans="1:16" ht="15.75" customHeight="1" x14ac:dyDescent="0.25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17"/>
    </row>
    <row r="622" spans="1:16" ht="15.75" customHeight="1" x14ac:dyDescent="0.25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17"/>
    </row>
    <row r="623" spans="1:16" ht="15.75" customHeight="1" x14ac:dyDescent="0.25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17"/>
    </row>
    <row r="624" spans="1:16" ht="15.75" customHeight="1" x14ac:dyDescent="0.25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17"/>
    </row>
    <row r="625" spans="1:16" ht="15.75" customHeight="1" x14ac:dyDescent="0.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17"/>
    </row>
    <row r="626" spans="1:16" ht="15.75" customHeight="1" x14ac:dyDescent="0.25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17"/>
    </row>
    <row r="627" spans="1:16" ht="15.75" customHeight="1" x14ac:dyDescent="0.25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17"/>
    </row>
    <row r="628" spans="1:16" ht="15.75" customHeight="1" x14ac:dyDescent="0.25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17"/>
    </row>
    <row r="629" spans="1:16" ht="15.75" customHeight="1" x14ac:dyDescent="0.25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17"/>
    </row>
    <row r="630" spans="1:16" ht="15.75" customHeight="1" x14ac:dyDescent="0.25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17"/>
    </row>
    <row r="631" spans="1:16" ht="15.75" customHeight="1" x14ac:dyDescent="0.25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17"/>
    </row>
    <row r="632" spans="1:16" ht="15.75" customHeight="1" x14ac:dyDescent="0.25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17"/>
    </row>
    <row r="633" spans="1:16" ht="15.75" customHeight="1" x14ac:dyDescent="0.25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17"/>
    </row>
    <row r="634" spans="1:16" ht="15.75" customHeight="1" x14ac:dyDescent="0.25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17"/>
    </row>
    <row r="635" spans="1:16" ht="15.75" customHeight="1" x14ac:dyDescent="0.2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17"/>
    </row>
    <row r="636" spans="1:16" ht="15.75" customHeight="1" x14ac:dyDescent="0.25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17"/>
    </row>
    <row r="637" spans="1:16" ht="15.75" customHeight="1" x14ac:dyDescent="0.25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17"/>
    </row>
    <row r="638" spans="1:16" ht="15.75" customHeight="1" x14ac:dyDescent="0.25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17"/>
    </row>
    <row r="639" spans="1:16" ht="15.75" customHeight="1" x14ac:dyDescent="0.25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17"/>
    </row>
    <row r="640" spans="1:16" ht="15.75" customHeight="1" x14ac:dyDescent="0.25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17"/>
    </row>
    <row r="641" spans="1:16" ht="15.75" customHeight="1" x14ac:dyDescent="0.25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17"/>
    </row>
    <row r="642" spans="1:16" ht="15.75" customHeight="1" x14ac:dyDescent="0.25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17"/>
    </row>
    <row r="643" spans="1:16" ht="15.75" customHeight="1" x14ac:dyDescent="0.25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17"/>
    </row>
    <row r="644" spans="1:16" ht="15.75" customHeight="1" x14ac:dyDescent="0.25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17"/>
    </row>
    <row r="645" spans="1:16" ht="15.75" customHeight="1" x14ac:dyDescent="0.2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17"/>
    </row>
    <row r="646" spans="1:16" ht="15.75" customHeight="1" x14ac:dyDescent="0.25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17"/>
    </row>
    <row r="647" spans="1:16" ht="15.75" customHeight="1" x14ac:dyDescent="0.25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17"/>
    </row>
    <row r="648" spans="1:16" ht="15.75" customHeight="1" x14ac:dyDescent="0.25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17"/>
    </row>
    <row r="649" spans="1:16" ht="15.75" customHeight="1" x14ac:dyDescent="0.25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17"/>
    </row>
    <row r="650" spans="1:16" ht="15.75" customHeight="1" x14ac:dyDescent="0.25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17"/>
    </row>
    <row r="651" spans="1:16" ht="15.75" customHeight="1" x14ac:dyDescent="0.25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17"/>
    </row>
    <row r="652" spans="1:16" ht="15.75" customHeight="1" x14ac:dyDescent="0.25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17"/>
    </row>
    <row r="653" spans="1:16" ht="15.75" customHeight="1" x14ac:dyDescent="0.25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17"/>
    </row>
    <row r="654" spans="1:16" ht="15.75" customHeight="1" x14ac:dyDescent="0.25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17"/>
    </row>
    <row r="655" spans="1:16" ht="15.75" customHeight="1" x14ac:dyDescent="0.2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17"/>
    </row>
    <row r="656" spans="1:16" ht="15.75" customHeight="1" x14ac:dyDescent="0.25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17"/>
    </row>
    <row r="657" spans="1:16" ht="15.75" customHeight="1" x14ac:dyDescent="0.25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17"/>
    </row>
    <row r="658" spans="1:16" ht="15.75" customHeight="1" x14ac:dyDescent="0.25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17"/>
    </row>
    <row r="659" spans="1:16" ht="15.75" customHeight="1" x14ac:dyDescent="0.25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17"/>
    </row>
    <row r="660" spans="1:16" ht="15.75" customHeight="1" x14ac:dyDescent="0.25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17"/>
    </row>
    <row r="661" spans="1:16" ht="15.75" customHeight="1" x14ac:dyDescent="0.25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17"/>
    </row>
    <row r="662" spans="1:16" ht="15.75" customHeight="1" x14ac:dyDescent="0.25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17"/>
    </row>
    <row r="663" spans="1:16" ht="15.75" customHeight="1" x14ac:dyDescent="0.25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17"/>
    </row>
    <row r="664" spans="1:16" ht="15.75" customHeight="1" x14ac:dyDescent="0.25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17"/>
    </row>
    <row r="665" spans="1:16" ht="15.75" customHeight="1" x14ac:dyDescent="0.2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17"/>
    </row>
    <row r="666" spans="1:16" ht="15.75" customHeight="1" x14ac:dyDescent="0.25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17"/>
    </row>
    <row r="667" spans="1:16" ht="15.75" customHeight="1" x14ac:dyDescent="0.25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17"/>
    </row>
    <row r="668" spans="1:16" ht="15.75" customHeight="1" x14ac:dyDescent="0.25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17"/>
    </row>
    <row r="669" spans="1:16" ht="15.75" customHeight="1" x14ac:dyDescent="0.25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17"/>
    </row>
    <row r="670" spans="1:16" ht="15.75" customHeight="1" x14ac:dyDescent="0.25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17"/>
    </row>
    <row r="671" spans="1:16" ht="15.75" customHeight="1" x14ac:dyDescent="0.25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17"/>
    </row>
    <row r="672" spans="1:16" ht="15.75" customHeight="1" x14ac:dyDescent="0.25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17"/>
    </row>
    <row r="673" spans="1:16" ht="15.75" customHeight="1" x14ac:dyDescent="0.25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17"/>
    </row>
    <row r="674" spans="1:16" ht="15.75" customHeight="1" x14ac:dyDescent="0.25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17"/>
    </row>
    <row r="675" spans="1:16" ht="15.75" customHeight="1" x14ac:dyDescent="0.2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17"/>
    </row>
    <row r="676" spans="1:16" ht="15.75" customHeight="1" x14ac:dyDescent="0.25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17"/>
    </row>
    <row r="677" spans="1:16" ht="15.75" customHeight="1" x14ac:dyDescent="0.25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17"/>
    </row>
    <row r="678" spans="1:16" ht="15.75" customHeight="1" x14ac:dyDescent="0.25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17"/>
    </row>
    <row r="679" spans="1:16" ht="15.75" customHeight="1" x14ac:dyDescent="0.25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17"/>
    </row>
    <row r="680" spans="1:16" ht="15.75" customHeight="1" x14ac:dyDescent="0.25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17"/>
    </row>
    <row r="681" spans="1:16" ht="15.75" customHeight="1" x14ac:dyDescent="0.25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17"/>
    </row>
    <row r="682" spans="1:16" ht="15.75" customHeight="1" x14ac:dyDescent="0.25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17"/>
    </row>
    <row r="683" spans="1:16" ht="15.75" customHeight="1" x14ac:dyDescent="0.25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17"/>
    </row>
    <row r="684" spans="1:16" ht="15.75" customHeight="1" x14ac:dyDescent="0.25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17"/>
    </row>
    <row r="685" spans="1:16" ht="15.75" customHeight="1" x14ac:dyDescent="0.2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17"/>
    </row>
    <row r="686" spans="1:16" ht="15.75" customHeight="1" x14ac:dyDescent="0.25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17"/>
    </row>
    <row r="687" spans="1:16" ht="15.75" customHeight="1" x14ac:dyDescent="0.25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17"/>
    </row>
    <row r="688" spans="1:16" ht="15.75" customHeight="1" x14ac:dyDescent="0.25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17"/>
    </row>
    <row r="689" spans="1:16" ht="15.75" customHeight="1" x14ac:dyDescent="0.25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17"/>
    </row>
    <row r="690" spans="1:16" ht="15.75" customHeight="1" x14ac:dyDescent="0.25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17"/>
    </row>
    <row r="691" spans="1:16" ht="15.75" customHeight="1" x14ac:dyDescent="0.25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17"/>
    </row>
    <row r="692" spans="1:16" ht="15.75" customHeight="1" x14ac:dyDescent="0.25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17"/>
    </row>
    <row r="693" spans="1:16" ht="15.75" customHeight="1" x14ac:dyDescent="0.25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17"/>
    </row>
    <row r="694" spans="1:16" ht="15.75" customHeight="1" x14ac:dyDescent="0.25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17"/>
    </row>
    <row r="695" spans="1:16" ht="15.75" customHeight="1" x14ac:dyDescent="0.2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17"/>
    </row>
    <row r="696" spans="1:16" ht="15.75" customHeight="1" x14ac:dyDescent="0.25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17"/>
    </row>
    <row r="697" spans="1:16" ht="15.75" customHeight="1" x14ac:dyDescent="0.25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17"/>
    </row>
    <row r="698" spans="1:16" ht="15.75" customHeight="1" x14ac:dyDescent="0.25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17"/>
    </row>
    <row r="699" spans="1:16" ht="15.75" customHeight="1" x14ac:dyDescent="0.25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17"/>
    </row>
    <row r="700" spans="1:16" ht="15.75" customHeight="1" x14ac:dyDescent="0.25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17"/>
    </row>
    <row r="701" spans="1:16" ht="15.75" customHeight="1" x14ac:dyDescent="0.25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17"/>
    </row>
    <row r="702" spans="1:16" ht="15.75" customHeight="1" x14ac:dyDescent="0.25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17"/>
    </row>
    <row r="703" spans="1:16" ht="15.75" customHeight="1" x14ac:dyDescent="0.25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17"/>
    </row>
    <row r="704" spans="1:16" ht="15.75" customHeight="1" x14ac:dyDescent="0.25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17"/>
    </row>
    <row r="705" spans="1:16" ht="15.75" customHeight="1" x14ac:dyDescent="0.2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17"/>
    </row>
    <row r="706" spans="1:16" ht="15.75" customHeight="1" x14ac:dyDescent="0.25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17"/>
    </row>
    <row r="707" spans="1:16" ht="15.75" customHeight="1" x14ac:dyDescent="0.25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17"/>
    </row>
    <row r="708" spans="1:16" ht="15.75" customHeight="1" x14ac:dyDescent="0.25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17"/>
    </row>
    <row r="709" spans="1:16" ht="15.75" customHeight="1" x14ac:dyDescent="0.25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17"/>
    </row>
    <row r="710" spans="1:16" ht="15.75" customHeight="1" x14ac:dyDescent="0.25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17"/>
    </row>
    <row r="711" spans="1:16" ht="15.75" customHeight="1" x14ac:dyDescent="0.25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17"/>
    </row>
    <row r="712" spans="1:16" ht="15.75" customHeight="1" x14ac:dyDescent="0.25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17"/>
    </row>
    <row r="713" spans="1:16" ht="15.75" customHeight="1" x14ac:dyDescent="0.25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17"/>
    </row>
    <row r="714" spans="1:16" ht="15.75" customHeight="1" x14ac:dyDescent="0.25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17"/>
    </row>
    <row r="715" spans="1:16" ht="15.75" customHeight="1" x14ac:dyDescent="0.2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17"/>
    </row>
    <row r="716" spans="1:16" ht="15.75" customHeight="1" x14ac:dyDescent="0.25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17"/>
    </row>
    <row r="717" spans="1:16" ht="15.75" customHeight="1" x14ac:dyDescent="0.25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17"/>
    </row>
    <row r="718" spans="1:16" ht="15.75" customHeight="1" x14ac:dyDescent="0.25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17"/>
    </row>
    <row r="719" spans="1:16" ht="15.75" customHeight="1" x14ac:dyDescent="0.25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17"/>
    </row>
    <row r="720" spans="1:16" ht="15.75" customHeight="1" x14ac:dyDescent="0.25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17"/>
    </row>
    <row r="721" spans="1:16" ht="15.75" customHeight="1" x14ac:dyDescent="0.25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17"/>
    </row>
    <row r="722" spans="1:16" ht="15.75" customHeight="1" x14ac:dyDescent="0.25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17"/>
    </row>
    <row r="723" spans="1:16" ht="15.75" customHeight="1" x14ac:dyDescent="0.25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17"/>
    </row>
    <row r="724" spans="1:16" ht="15.75" customHeight="1" x14ac:dyDescent="0.25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17"/>
    </row>
    <row r="725" spans="1:16" ht="15.75" customHeight="1" x14ac:dyDescent="0.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17"/>
    </row>
    <row r="726" spans="1:16" ht="15.75" customHeight="1" x14ac:dyDescent="0.25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17"/>
    </row>
    <row r="727" spans="1:16" ht="15.75" customHeight="1" x14ac:dyDescent="0.25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17"/>
    </row>
    <row r="728" spans="1:16" ht="15.75" customHeight="1" x14ac:dyDescent="0.25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17"/>
    </row>
    <row r="729" spans="1:16" ht="15.75" customHeight="1" x14ac:dyDescent="0.25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17"/>
    </row>
    <row r="730" spans="1:16" ht="15.75" customHeight="1" x14ac:dyDescent="0.25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17"/>
    </row>
    <row r="731" spans="1:16" ht="15.75" customHeight="1" x14ac:dyDescent="0.25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17"/>
    </row>
    <row r="732" spans="1:16" ht="15.75" customHeight="1" x14ac:dyDescent="0.25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17"/>
    </row>
    <row r="733" spans="1:16" ht="15.75" customHeight="1" x14ac:dyDescent="0.25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17"/>
    </row>
    <row r="734" spans="1:16" ht="15.75" customHeight="1" x14ac:dyDescent="0.25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17"/>
    </row>
    <row r="735" spans="1:16" ht="15.75" customHeight="1" x14ac:dyDescent="0.2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17"/>
    </row>
    <row r="736" spans="1:16" ht="15.75" customHeight="1" x14ac:dyDescent="0.25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17"/>
    </row>
    <row r="737" spans="1:16" ht="15.75" customHeight="1" x14ac:dyDescent="0.25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17"/>
    </row>
    <row r="738" spans="1:16" ht="15.75" customHeight="1" x14ac:dyDescent="0.25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17"/>
    </row>
    <row r="739" spans="1:16" ht="15.75" customHeight="1" x14ac:dyDescent="0.25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17"/>
    </row>
    <row r="740" spans="1:16" ht="15.75" customHeight="1" x14ac:dyDescent="0.25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17"/>
    </row>
    <row r="741" spans="1:16" ht="15.75" customHeight="1" x14ac:dyDescent="0.25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17"/>
    </row>
    <row r="742" spans="1:16" ht="15.75" customHeight="1" x14ac:dyDescent="0.25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17"/>
    </row>
    <row r="743" spans="1:16" ht="15.75" customHeight="1" x14ac:dyDescent="0.25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17"/>
    </row>
    <row r="744" spans="1:16" ht="15.75" customHeight="1" x14ac:dyDescent="0.25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17"/>
    </row>
    <row r="745" spans="1:16" ht="15.75" customHeight="1" x14ac:dyDescent="0.2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17"/>
    </row>
    <row r="746" spans="1:16" ht="15.75" customHeight="1" x14ac:dyDescent="0.25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17"/>
    </row>
    <row r="747" spans="1:16" ht="15.75" customHeight="1" x14ac:dyDescent="0.25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17"/>
    </row>
    <row r="748" spans="1:16" ht="15.75" customHeight="1" x14ac:dyDescent="0.25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17"/>
    </row>
    <row r="749" spans="1:16" ht="15.75" customHeight="1" x14ac:dyDescent="0.25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17"/>
    </row>
    <row r="750" spans="1:16" ht="15.75" customHeight="1" x14ac:dyDescent="0.25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17"/>
    </row>
    <row r="751" spans="1:16" ht="15.75" customHeight="1" x14ac:dyDescent="0.25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17"/>
    </row>
    <row r="752" spans="1:16" ht="15.75" customHeight="1" x14ac:dyDescent="0.25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17"/>
    </row>
    <row r="753" spans="1:16" ht="15.75" customHeight="1" x14ac:dyDescent="0.25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17"/>
    </row>
    <row r="754" spans="1:16" ht="15.75" customHeight="1" x14ac:dyDescent="0.25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17"/>
    </row>
    <row r="755" spans="1:16" ht="15.75" customHeight="1" x14ac:dyDescent="0.2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17"/>
    </row>
    <row r="756" spans="1:16" ht="15.75" customHeight="1" x14ac:dyDescent="0.25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17"/>
    </row>
    <row r="757" spans="1:16" ht="15.75" customHeight="1" x14ac:dyDescent="0.25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17"/>
    </row>
    <row r="758" spans="1:16" ht="15.75" customHeight="1" x14ac:dyDescent="0.25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17"/>
    </row>
    <row r="759" spans="1:16" ht="15.75" customHeight="1" x14ac:dyDescent="0.25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17"/>
    </row>
    <row r="760" spans="1:16" ht="15.75" customHeight="1" x14ac:dyDescent="0.25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17"/>
    </row>
    <row r="761" spans="1:16" ht="15.75" customHeight="1" x14ac:dyDescent="0.25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17"/>
    </row>
    <row r="762" spans="1:16" ht="15.75" customHeight="1" x14ac:dyDescent="0.25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17"/>
    </row>
    <row r="763" spans="1:16" ht="15.75" customHeight="1" x14ac:dyDescent="0.25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17"/>
    </row>
    <row r="764" spans="1:16" ht="15.75" customHeight="1" x14ac:dyDescent="0.25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17"/>
    </row>
    <row r="765" spans="1:16" ht="15.75" customHeight="1" x14ac:dyDescent="0.2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17"/>
    </row>
    <row r="766" spans="1:16" ht="15.75" customHeight="1" x14ac:dyDescent="0.25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17"/>
    </row>
    <row r="767" spans="1:16" ht="15.75" customHeight="1" x14ac:dyDescent="0.25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17"/>
    </row>
    <row r="768" spans="1:16" ht="15.75" customHeight="1" x14ac:dyDescent="0.25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17"/>
    </row>
    <row r="769" spans="1:16" ht="15.75" customHeight="1" x14ac:dyDescent="0.25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17"/>
    </row>
    <row r="770" spans="1:16" ht="15.75" customHeight="1" x14ac:dyDescent="0.25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17"/>
    </row>
    <row r="771" spans="1:16" ht="15.75" customHeight="1" x14ac:dyDescent="0.25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17"/>
    </row>
    <row r="772" spans="1:16" ht="15.75" customHeight="1" x14ac:dyDescent="0.25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17"/>
    </row>
    <row r="773" spans="1:16" ht="15.75" customHeight="1" x14ac:dyDescent="0.25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17"/>
    </row>
    <row r="774" spans="1:16" ht="15.75" customHeight="1" x14ac:dyDescent="0.25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17"/>
    </row>
    <row r="775" spans="1:16" ht="15.75" customHeight="1" x14ac:dyDescent="0.2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17"/>
    </row>
    <row r="776" spans="1:16" ht="15.75" customHeight="1" x14ac:dyDescent="0.25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17"/>
    </row>
    <row r="777" spans="1:16" ht="15.75" customHeight="1" x14ac:dyDescent="0.25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17"/>
    </row>
    <row r="778" spans="1:16" ht="15.75" customHeight="1" x14ac:dyDescent="0.25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17"/>
    </row>
    <row r="779" spans="1:16" ht="15.75" customHeight="1" x14ac:dyDescent="0.25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17"/>
    </row>
    <row r="780" spans="1:16" ht="15.75" customHeight="1" x14ac:dyDescent="0.25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17"/>
    </row>
    <row r="781" spans="1:16" ht="15.75" customHeight="1" x14ac:dyDescent="0.25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17"/>
    </row>
    <row r="782" spans="1:16" ht="15.75" customHeight="1" x14ac:dyDescent="0.25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17"/>
    </row>
    <row r="783" spans="1:16" ht="15.75" customHeight="1" x14ac:dyDescent="0.25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17"/>
    </row>
    <row r="784" spans="1:16" ht="15.75" customHeight="1" x14ac:dyDescent="0.25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17"/>
    </row>
    <row r="785" spans="1:16" ht="15.75" customHeight="1" x14ac:dyDescent="0.2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17"/>
    </row>
    <row r="786" spans="1:16" ht="15.75" customHeight="1" x14ac:dyDescent="0.25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17"/>
    </row>
    <row r="787" spans="1:16" ht="15.75" customHeight="1" x14ac:dyDescent="0.25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17"/>
    </row>
    <row r="788" spans="1:16" ht="15.75" customHeight="1" x14ac:dyDescent="0.25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17"/>
    </row>
    <row r="789" spans="1:16" ht="15.75" customHeight="1" x14ac:dyDescent="0.25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17"/>
    </row>
    <row r="790" spans="1:16" ht="15.75" customHeight="1" x14ac:dyDescent="0.25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17"/>
    </row>
    <row r="791" spans="1:16" ht="15.75" customHeight="1" x14ac:dyDescent="0.25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17"/>
    </row>
    <row r="792" spans="1:16" ht="15.75" customHeight="1" x14ac:dyDescent="0.25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17"/>
    </row>
    <row r="793" spans="1:16" ht="15.75" customHeight="1" x14ac:dyDescent="0.25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17"/>
    </row>
    <row r="794" spans="1:16" ht="15.75" customHeight="1" x14ac:dyDescent="0.25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17"/>
    </row>
    <row r="795" spans="1:16" ht="15.75" customHeight="1" x14ac:dyDescent="0.2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17"/>
    </row>
    <row r="796" spans="1:16" ht="15.75" customHeight="1" x14ac:dyDescent="0.25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17"/>
    </row>
    <row r="797" spans="1:16" ht="15.75" customHeight="1" x14ac:dyDescent="0.25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17"/>
    </row>
    <row r="798" spans="1:16" ht="15.75" customHeight="1" x14ac:dyDescent="0.25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17"/>
    </row>
    <row r="799" spans="1:16" ht="15.75" customHeight="1" x14ac:dyDescent="0.25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17"/>
    </row>
    <row r="800" spans="1:16" ht="15.75" customHeight="1" x14ac:dyDescent="0.25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17"/>
    </row>
    <row r="801" spans="1:16" ht="15.75" customHeight="1" x14ac:dyDescent="0.25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17"/>
    </row>
    <row r="802" spans="1:16" ht="15.75" customHeight="1" x14ac:dyDescent="0.25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17"/>
    </row>
    <row r="803" spans="1:16" ht="15.75" customHeight="1" x14ac:dyDescent="0.25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17"/>
    </row>
    <row r="804" spans="1:16" ht="15.75" customHeight="1" x14ac:dyDescent="0.25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17"/>
    </row>
    <row r="805" spans="1:16" ht="15.75" customHeight="1" x14ac:dyDescent="0.2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17"/>
    </row>
    <row r="806" spans="1:16" ht="15.75" customHeight="1" x14ac:dyDescent="0.25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17"/>
    </row>
    <row r="807" spans="1:16" ht="15.75" customHeight="1" x14ac:dyDescent="0.25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17"/>
    </row>
    <row r="808" spans="1:16" ht="15.75" customHeight="1" x14ac:dyDescent="0.25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17"/>
    </row>
    <row r="809" spans="1:16" ht="15.75" customHeight="1" x14ac:dyDescent="0.25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17"/>
    </row>
    <row r="810" spans="1:16" ht="15.75" customHeight="1" x14ac:dyDescent="0.25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17"/>
    </row>
    <row r="811" spans="1:16" ht="15.75" customHeight="1" x14ac:dyDescent="0.25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17"/>
    </row>
    <row r="812" spans="1:16" ht="15.75" customHeight="1" x14ac:dyDescent="0.25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17"/>
    </row>
    <row r="813" spans="1:16" ht="15.75" customHeight="1" x14ac:dyDescent="0.25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17"/>
    </row>
    <row r="814" spans="1:16" ht="15.75" customHeight="1" x14ac:dyDescent="0.25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17"/>
    </row>
    <row r="815" spans="1:16" ht="15.75" customHeight="1" x14ac:dyDescent="0.2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17"/>
    </row>
    <row r="816" spans="1:16" ht="15.75" customHeight="1" x14ac:dyDescent="0.25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17"/>
    </row>
    <row r="817" spans="1:16" ht="15.75" customHeight="1" x14ac:dyDescent="0.25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17"/>
    </row>
    <row r="818" spans="1:16" ht="15.75" customHeight="1" x14ac:dyDescent="0.25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17"/>
    </row>
    <row r="819" spans="1:16" ht="15.75" customHeight="1" x14ac:dyDescent="0.25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17"/>
    </row>
    <row r="820" spans="1:16" ht="15.75" customHeight="1" x14ac:dyDescent="0.25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17"/>
    </row>
    <row r="821" spans="1:16" ht="15.75" customHeight="1" x14ac:dyDescent="0.25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17"/>
    </row>
    <row r="822" spans="1:16" ht="15.75" customHeight="1" x14ac:dyDescent="0.25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17"/>
    </row>
    <row r="823" spans="1:16" ht="15.75" customHeight="1" x14ac:dyDescent="0.25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17"/>
    </row>
    <row r="824" spans="1:16" ht="15.75" customHeight="1" x14ac:dyDescent="0.25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17"/>
    </row>
    <row r="825" spans="1:16" ht="15.75" customHeight="1" x14ac:dyDescent="0.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17"/>
    </row>
    <row r="826" spans="1:16" ht="15.75" customHeight="1" x14ac:dyDescent="0.25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17"/>
    </row>
    <row r="827" spans="1:16" ht="15.75" customHeight="1" x14ac:dyDescent="0.25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17"/>
    </row>
    <row r="828" spans="1:16" ht="15.75" customHeight="1" x14ac:dyDescent="0.25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17"/>
    </row>
    <row r="829" spans="1:16" ht="15.75" customHeight="1" x14ac:dyDescent="0.25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17"/>
    </row>
    <row r="830" spans="1:16" ht="15.75" customHeight="1" x14ac:dyDescent="0.25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17"/>
    </row>
    <row r="831" spans="1:16" ht="15.75" customHeight="1" x14ac:dyDescent="0.25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17"/>
    </row>
    <row r="832" spans="1:16" ht="15.75" customHeight="1" x14ac:dyDescent="0.25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17"/>
    </row>
    <row r="833" spans="1:16" ht="15.75" customHeight="1" x14ac:dyDescent="0.25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17"/>
    </row>
    <row r="834" spans="1:16" ht="15.75" customHeight="1" x14ac:dyDescent="0.25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17"/>
    </row>
    <row r="835" spans="1:16" ht="15.75" customHeight="1" x14ac:dyDescent="0.2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17"/>
    </row>
    <row r="836" spans="1:16" ht="15.75" customHeight="1" x14ac:dyDescent="0.25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17"/>
    </row>
    <row r="837" spans="1:16" ht="15.75" customHeight="1" x14ac:dyDescent="0.25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17"/>
    </row>
    <row r="838" spans="1:16" ht="15.75" customHeight="1" x14ac:dyDescent="0.25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17"/>
    </row>
    <row r="839" spans="1:16" ht="15.75" customHeight="1" x14ac:dyDescent="0.25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17"/>
    </row>
    <row r="840" spans="1:16" ht="15.75" customHeight="1" x14ac:dyDescent="0.25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17"/>
    </row>
    <row r="841" spans="1:16" ht="15.75" customHeight="1" x14ac:dyDescent="0.25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17"/>
    </row>
    <row r="842" spans="1:16" ht="15.75" customHeight="1" x14ac:dyDescent="0.25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17"/>
    </row>
    <row r="843" spans="1:16" ht="15.75" customHeight="1" x14ac:dyDescent="0.25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17"/>
    </row>
    <row r="844" spans="1:16" ht="15.75" customHeight="1" x14ac:dyDescent="0.25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17"/>
    </row>
    <row r="845" spans="1:16" ht="15.75" customHeight="1" x14ac:dyDescent="0.2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17"/>
    </row>
    <row r="846" spans="1:16" ht="15.75" customHeight="1" x14ac:dyDescent="0.25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17"/>
    </row>
    <row r="847" spans="1:16" ht="15.75" customHeight="1" x14ac:dyDescent="0.25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17"/>
    </row>
    <row r="848" spans="1:16" ht="15.75" customHeight="1" x14ac:dyDescent="0.25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17"/>
    </row>
    <row r="849" spans="1:16" ht="15.75" customHeight="1" x14ac:dyDescent="0.25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17"/>
    </row>
    <row r="850" spans="1:16" ht="15.75" customHeight="1" x14ac:dyDescent="0.25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17"/>
    </row>
    <row r="851" spans="1:16" ht="15.75" customHeight="1" x14ac:dyDescent="0.25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17"/>
    </row>
    <row r="852" spans="1:16" ht="15.75" customHeight="1" x14ac:dyDescent="0.25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17"/>
    </row>
    <row r="853" spans="1:16" ht="15.75" customHeight="1" x14ac:dyDescent="0.25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17"/>
    </row>
    <row r="854" spans="1:16" ht="15.75" customHeight="1" x14ac:dyDescent="0.25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17"/>
    </row>
    <row r="855" spans="1:16" ht="15.75" customHeight="1" x14ac:dyDescent="0.2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17"/>
    </row>
    <row r="856" spans="1:16" ht="15.75" customHeight="1" x14ac:dyDescent="0.25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17"/>
    </row>
    <row r="857" spans="1:16" ht="15.75" customHeight="1" x14ac:dyDescent="0.25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17"/>
    </row>
    <row r="858" spans="1:16" ht="15.75" customHeight="1" x14ac:dyDescent="0.25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17"/>
    </row>
    <row r="859" spans="1:16" ht="15.75" customHeight="1" x14ac:dyDescent="0.25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17"/>
    </row>
    <row r="860" spans="1:16" ht="15.75" customHeight="1" x14ac:dyDescent="0.25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17"/>
    </row>
    <row r="861" spans="1:16" ht="15.75" customHeight="1" x14ac:dyDescent="0.25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17"/>
    </row>
    <row r="862" spans="1:16" ht="15.75" customHeight="1" x14ac:dyDescent="0.25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17"/>
    </row>
    <row r="863" spans="1:16" ht="15.75" customHeight="1" x14ac:dyDescent="0.25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17"/>
    </row>
    <row r="864" spans="1:16" ht="15.75" customHeight="1" x14ac:dyDescent="0.25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17"/>
    </row>
    <row r="865" spans="1:16" ht="15.75" customHeight="1" x14ac:dyDescent="0.2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17"/>
    </row>
    <row r="866" spans="1:16" ht="15.75" customHeight="1" x14ac:dyDescent="0.25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17"/>
    </row>
    <row r="867" spans="1:16" ht="15.75" customHeight="1" x14ac:dyDescent="0.25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17"/>
    </row>
    <row r="868" spans="1:16" ht="15.75" customHeight="1" x14ac:dyDescent="0.25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17"/>
    </row>
    <row r="869" spans="1:16" ht="15.75" customHeight="1" x14ac:dyDescent="0.25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17"/>
    </row>
    <row r="870" spans="1:16" ht="15.75" customHeight="1" x14ac:dyDescent="0.25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17"/>
    </row>
    <row r="871" spans="1:16" ht="15.75" customHeight="1" x14ac:dyDescent="0.25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17"/>
    </row>
    <row r="872" spans="1:16" ht="15.75" customHeight="1" x14ac:dyDescent="0.25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17"/>
    </row>
    <row r="873" spans="1:16" ht="15.75" customHeight="1" x14ac:dyDescent="0.25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17"/>
    </row>
    <row r="874" spans="1:16" ht="15.75" customHeight="1" x14ac:dyDescent="0.25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17"/>
    </row>
    <row r="875" spans="1:16" ht="15.75" customHeight="1" x14ac:dyDescent="0.2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17"/>
    </row>
    <row r="876" spans="1:16" ht="15.75" customHeight="1" x14ac:dyDescent="0.25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17"/>
    </row>
    <row r="877" spans="1:16" ht="15.75" customHeight="1" x14ac:dyDescent="0.25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17"/>
    </row>
    <row r="878" spans="1:16" ht="15.75" customHeight="1" x14ac:dyDescent="0.25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17"/>
    </row>
    <row r="879" spans="1:16" ht="15.75" customHeight="1" x14ac:dyDescent="0.25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17"/>
    </row>
    <row r="880" spans="1:16" ht="15.75" customHeight="1" x14ac:dyDescent="0.25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17"/>
    </row>
    <row r="881" spans="1:16" ht="15.75" customHeight="1" x14ac:dyDescent="0.25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17"/>
    </row>
    <row r="882" spans="1:16" ht="15.75" customHeight="1" x14ac:dyDescent="0.25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17"/>
    </row>
    <row r="883" spans="1:16" ht="15.75" customHeight="1" x14ac:dyDescent="0.25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17"/>
    </row>
    <row r="884" spans="1:16" ht="15.75" customHeight="1" x14ac:dyDescent="0.25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17"/>
    </row>
    <row r="885" spans="1:16" ht="15.75" customHeight="1" x14ac:dyDescent="0.2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17"/>
    </row>
    <row r="886" spans="1:16" ht="15.75" customHeight="1" x14ac:dyDescent="0.25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17"/>
    </row>
    <row r="887" spans="1:16" ht="15.75" customHeight="1" x14ac:dyDescent="0.25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17"/>
    </row>
    <row r="888" spans="1:16" ht="15.75" customHeight="1" x14ac:dyDescent="0.25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17"/>
    </row>
    <row r="889" spans="1:16" ht="15.75" customHeight="1" x14ac:dyDescent="0.25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17"/>
    </row>
    <row r="890" spans="1:16" ht="15.75" customHeight="1" x14ac:dyDescent="0.25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17"/>
    </row>
    <row r="891" spans="1:16" ht="15.75" customHeight="1" x14ac:dyDescent="0.25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17"/>
    </row>
    <row r="892" spans="1:16" ht="15.75" customHeight="1" x14ac:dyDescent="0.25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17"/>
    </row>
    <row r="893" spans="1:16" ht="15.75" customHeight="1" x14ac:dyDescent="0.25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17"/>
    </row>
    <row r="894" spans="1:16" ht="15.75" customHeight="1" x14ac:dyDescent="0.25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17"/>
    </row>
    <row r="895" spans="1:16" ht="15.75" customHeight="1" x14ac:dyDescent="0.2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17"/>
    </row>
    <row r="896" spans="1:16" ht="15.75" customHeight="1" x14ac:dyDescent="0.25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17"/>
    </row>
    <row r="897" spans="1:16" ht="15.75" customHeight="1" x14ac:dyDescent="0.25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17"/>
    </row>
    <row r="898" spans="1:16" ht="15.75" customHeight="1" x14ac:dyDescent="0.25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17"/>
    </row>
    <row r="899" spans="1:16" ht="15.75" customHeight="1" x14ac:dyDescent="0.25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17"/>
    </row>
    <row r="900" spans="1:16" ht="15.75" customHeight="1" x14ac:dyDescent="0.25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17"/>
    </row>
    <row r="901" spans="1:16" ht="15.75" customHeight="1" x14ac:dyDescent="0.25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17"/>
    </row>
    <row r="902" spans="1:16" ht="15.75" customHeight="1" x14ac:dyDescent="0.25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17"/>
    </row>
    <row r="903" spans="1:16" ht="15.75" customHeight="1" x14ac:dyDescent="0.25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17"/>
    </row>
    <row r="904" spans="1:16" ht="15.75" customHeight="1" x14ac:dyDescent="0.25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17"/>
    </row>
    <row r="905" spans="1:16" ht="15.75" customHeight="1" x14ac:dyDescent="0.2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17"/>
    </row>
    <row r="906" spans="1:16" ht="15.75" customHeight="1" x14ac:dyDescent="0.25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17"/>
    </row>
    <row r="907" spans="1:16" ht="15.75" customHeight="1" x14ac:dyDescent="0.25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17"/>
    </row>
    <row r="908" spans="1:16" ht="15.75" customHeight="1" x14ac:dyDescent="0.25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17"/>
    </row>
    <row r="909" spans="1:16" ht="15.75" customHeight="1" x14ac:dyDescent="0.25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17"/>
    </row>
    <row r="910" spans="1:16" ht="15.75" customHeight="1" x14ac:dyDescent="0.25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17"/>
    </row>
    <row r="911" spans="1:16" ht="15.75" customHeight="1" x14ac:dyDescent="0.25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17"/>
    </row>
    <row r="912" spans="1:16" ht="15.75" customHeight="1" x14ac:dyDescent="0.25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17"/>
    </row>
    <row r="913" spans="1:16" ht="15.75" customHeight="1" x14ac:dyDescent="0.25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17"/>
    </row>
    <row r="914" spans="1:16" ht="15.75" customHeight="1" x14ac:dyDescent="0.25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17"/>
    </row>
    <row r="915" spans="1:16" ht="15.75" customHeight="1" x14ac:dyDescent="0.2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17"/>
    </row>
    <row r="916" spans="1:16" ht="15.75" customHeight="1" x14ac:dyDescent="0.25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17"/>
    </row>
    <row r="917" spans="1:16" ht="15.75" customHeight="1" x14ac:dyDescent="0.25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17"/>
    </row>
    <row r="918" spans="1:16" ht="15.75" customHeight="1" x14ac:dyDescent="0.25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17"/>
    </row>
    <row r="919" spans="1:16" ht="15.75" customHeight="1" x14ac:dyDescent="0.25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17"/>
    </row>
    <row r="920" spans="1:16" ht="15.75" customHeight="1" x14ac:dyDescent="0.25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17"/>
    </row>
    <row r="921" spans="1:16" ht="15.75" customHeight="1" x14ac:dyDescent="0.25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17"/>
    </row>
    <row r="922" spans="1:16" ht="15.75" customHeight="1" x14ac:dyDescent="0.25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17"/>
    </row>
    <row r="923" spans="1:16" ht="15.75" customHeight="1" x14ac:dyDescent="0.25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17"/>
    </row>
    <row r="924" spans="1:16" ht="15.75" customHeight="1" x14ac:dyDescent="0.25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17"/>
    </row>
    <row r="925" spans="1:16" ht="15.75" customHeight="1" x14ac:dyDescent="0.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17"/>
    </row>
    <row r="926" spans="1:16" ht="15.75" customHeight="1" x14ac:dyDescent="0.25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17"/>
    </row>
    <row r="927" spans="1:16" ht="15.75" customHeight="1" x14ac:dyDescent="0.25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17"/>
    </row>
    <row r="928" spans="1:16" ht="15.75" customHeight="1" x14ac:dyDescent="0.25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17"/>
    </row>
    <row r="929" spans="1:16" ht="15.75" customHeight="1" x14ac:dyDescent="0.25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17"/>
    </row>
    <row r="930" spans="1:16" ht="15.75" customHeight="1" x14ac:dyDescent="0.25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17"/>
    </row>
    <row r="931" spans="1:16" ht="15.75" customHeight="1" x14ac:dyDescent="0.25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17"/>
    </row>
    <row r="932" spans="1:16" ht="15.75" customHeight="1" x14ac:dyDescent="0.25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17"/>
    </row>
    <row r="933" spans="1:16" ht="15.75" customHeight="1" x14ac:dyDescent="0.25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17"/>
    </row>
    <row r="934" spans="1:16" ht="15.75" customHeight="1" x14ac:dyDescent="0.25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17"/>
    </row>
    <row r="935" spans="1:16" ht="15.75" customHeight="1" x14ac:dyDescent="0.2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17"/>
    </row>
    <row r="936" spans="1:16" ht="15.75" customHeight="1" x14ac:dyDescent="0.25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17"/>
    </row>
    <row r="937" spans="1:16" ht="15.75" customHeight="1" x14ac:dyDescent="0.25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17"/>
    </row>
    <row r="938" spans="1:16" ht="15.75" customHeight="1" x14ac:dyDescent="0.25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17"/>
    </row>
    <row r="939" spans="1:16" ht="15.75" customHeight="1" x14ac:dyDescent="0.25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17"/>
    </row>
    <row r="940" spans="1:16" ht="15.75" customHeight="1" x14ac:dyDescent="0.25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17"/>
    </row>
    <row r="941" spans="1:16" ht="15.75" customHeight="1" x14ac:dyDescent="0.25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17"/>
    </row>
    <row r="942" spans="1:16" ht="15.75" customHeight="1" x14ac:dyDescent="0.25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17"/>
    </row>
    <row r="943" spans="1:16" ht="15.75" customHeight="1" x14ac:dyDescent="0.25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17"/>
    </row>
    <row r="944" spans="1:16" ht="15.75" customHeight="1" x14ac:dyDescent="0.25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17"/>
    </row>
    <row r="945" spans="1:16" ht="15.75" customHeight="1" x14ac:dyDescent="0.25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17"/>
    </row>
    <row r="946" spans="1:16" ht="15.75" customHeight="1" x14ac:dyDescent="0.25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17"/>
    </row>
    <row r="947" spans="1:16" ht="15.75" customHeight="1" x14ac:dyDescent="0.25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17"/>
    </row>
    <row r="948" spans="1:16" ht="15.75" customHeight="1" x14ac:dyDescent="0.25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17"/>
    </row>
    <row r="949" spans="1:16" ht="15.75" customHeight="1" x14ac:dyDescent="0.25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17"/>
    </row>
    <row r="950" spans="1:16" ht="15.75" customHeight="1" x14ac:dyDescent="0.25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17"/>
    </row>
    <row r="951" spans="1:16" ht="15.75" customHeight="1" x14ac:dyDescent="0.25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17"/>
    </row>
    <row r="952" spans="1:16" ht="15.75" customHeight="1" x14ac:dyDescent="0.25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17"/>
    </row>
    <row r="953" spans="1:16" ht="15.75" customHeight="1" x14ac:dyDescent="0.25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17"/>
    </row>
    <row r="954" spans="1:16" ht="15.75" customHeight="1" x14ac:dyDescent="0.25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17"/>
    </row>
    <row r="955" spans="1:16" ht="15.75" customHeight="1" x14ac:dyDescent="0.25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17"/>
    </row>
    <row r="956" spans="1:16" ht="15.75" customHeight="1" x14ac:dyDescent="0.25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17"/>
    </row>
    <row r="957" spans="1:16" ht="15.75" customHeight="1" x14ac:dyDescent="0.25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17"/>
    </row>
    <row r="958" spans="1:16" ht="15.75" customHeight="1" x14ac:dyDescent="0.25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17"/>
    </row>
    <row r="959" spans="1:16" ht="15.75" customHeight="1" x14ac:dyDescent="0.25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17"/>
    </row>
    <row r="960" spans="1:16" ht="15.75" customHeight="1" x14ac:dyDescent="0.25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17"/>
    </row>
    <row r="961" spans="1:16" ht="15.75" customHeight="1" x14ac:dyDescent="0.25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17"/>
    </row>
    <row r="962" spans="1:16" ht="15.75" customHeight="1" x14ac:dyDescent="0.25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17"/>
    </row>
    <row r="963" spans="1:16" ht="15.75" customHeight="1" x14ac:dyDescent="0.25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17"/>
    </row>
    <row r="964" spans="1:16" ht="15.75" customHeight="1" x14ac:dyDescent="0.25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17"/>
    </row>
    <row r="965" spans="1:16" ht="15.75" customHeight="1" x14ac:dyDescent="0.25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17"/>
    </row>
    <row r="966" spans="1:16" ht="15.75" customHeight="1" x14ac:dyDescent="0.25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17"/>
    </row>
    <row r="967" spans="1:16" ht="15.75" customHeight="1" x14ac:dyDescent="0.25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17"/>
    </row>
    <row r="968" spans="1:16" ht="15.75" customHeight="1" x14ac:dyDescent="0.25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17"/>
    </row>
    <row r="969" spans="1:16" ht="15.75" customHeight="1" x14ac:dyDescent="0.25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17"/>
    </row>
    <row r="970" spans="1:16" ht="15.75" customHeight="1" x14ac:dyDescent="0.25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17"/>
    </row>
    <row r="971" spans="1:16" ht="15.75" customHeight="1" x14ac:dyDescent="0.25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17"/>
    </row>
    <row r="972" spans="1:16" ht="15.75" customHeight="1" x14ac:dyDescent="0.25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17"/>
    </row>
    <row r="973" spans="1:16" ht="15.75" customHeight="1" x14ac:dyDescent="0.25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17"/>
    </row>
    <row r="974" spans="1:16" ht="15.75" customHeight="1" x14ac:dyDescent="0.25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17"/>
    </row>
    <row r="975" spans="1:16" ht="15.75" customHeight="1" x14ac:dyDescent="0.25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17"/>
    </row>
    <row r="976" spans="1:16" ht="15.75" customHeight="1" x14ac:dyDescent="0.25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17"/>
    </row>
    <row r="977" spans="1:16" ht="15.75" customHeight="1" x14ac:dyDescent="0.25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17"/>
    </row>
    <row r="978" spans="1:16" ht="15.75" customHeight="1" x14ac:dyDescent="0.25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17"/>
    </row>
    <row r="979" spans="1:16" ht="15.75" customHeight="1" x14ac:dyDescent="0.25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17"/>
    </row>
    <row r="980" spans="1:16" ht="15.75" customHeight="1" x14ac:dyDescent="0.25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17"/>
    </row>
    <row r="981" spans="1:16" ht="15.75" customHeight="1" x14ac:dyDescent="0.25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17"/>
    </row>
    <row r="982" spans="1:16" ht="15.75" customHeight="1" x14ac:dyDescent="0.25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17"/>
    </row>
    <row r="983" spans="1:16" ht="15.75" customHeight="1" x14ac:dyDescent="0.25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17"/>
    </row>
    <row r="984" spans="1:16" ht="15.75" customHeight="1" x14ac:dyDescent="0.25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17"/>
    </row>
    <row r="985" spans="1:16" ht="15.75" customHeight="1" x14ac:dyDescent="0.25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17"/>
    </row>
    <row r="986" spans="1:16" ht="15.75" customHeight="1" x14ac:dyDescent="0.25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17"/>
    </row>
    <row r="987" spans="1:16" ht="15.75" customHeight="1" x14ac:dyDescent="0.25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17"/>
    </row>
    <row r="988" spans="1:16" ht="15.75" customHeight="1" x14ac:dyDescent="0.25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17"/>
    </row>
    <row r="989" spans="1:16" ht="15.75" customHeight="1" x14ac:dyDescent="0.25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17"/>
    </row>
    <row r="990" spans="1:16" ht="15.75" customHeight="1" x14ac:dyDescent="0.25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17"/>
    </row>
    <row r="991" spans="1:16" ht="15.75" customHeight="1" x14ac:dyDescent="0.25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17"/>
    </row>
    <row r="992" spans="1:16" ht="15.75" customHeight="1" x14ac:dyDescent="0.25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17"/>
    </row>
    <row r="993" spans="1:16" ht="15.75" customHeight="1" x14ac:dyDescent="0.25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17"/>
    </row>
    <row r="994" spans="1:16" ht="15.75" customHeight="1" x14ac:dyDescent="0.25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17"/>
    </row>
    <row r="995" spans="1:16" ht="15.75" customHeight="1" x14ac:dyDescent="0.25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17"/>
    </row>
    <row r="996" spans="1:16" ht="15.75" customHeight="1" x14ac:dyDescent="0.25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17"/>
    </row>
    <row r="997" spans="1:16" ht="15.75" customHeight="1" x14ac:dyDescent="0.25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17"/>
    </row>
    <row r="998" spans="1:16" ht="15.75" customHeight="1" x14ac:dyDescent="0.25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17"/>
    </row>
    <row r="999" spans="1:16" ht="15.75" customHeight="1" x14ac:dyDescent="0.25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17"/>
    </row>
    <row r="1000" spans="1:16" ht="15.75" customHeight="1" x14ac:dyDescent="0.25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17"/>
    </row>
    <row r="1001" spans="1:16" ht="15.75" customHeight="1" x14ac:dyDescent="0.25">
      <c r="A1001" s="130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17"/>
    </row>
    <row r="1002" spans="1:16" ht="15.75" customHeight="1" x14ac:dyDescent="0.25">
      <c r="A1002" s="130"/>
      <c r="B1002" s="130"/>
      <c r="C1002" s="130"/>
      <c r="D1002" s="130"/>
      <c r="E1002" s="130"/>
      <c r="F1002" s="130"/>
      <c r="G1002" s="130"/>
      <c r="H1002" s="130"/>
      <c r="I1002" s="130"/>
      <c r="J1002" s="130"/>
      <c r="K1002" s="130"/>
      <c r="L1002" s="130"/>
      <c r="M1002" s="130"/>
      <c r="N1002" s="130"/>
      <c r="O1002" s="130"/>
      <c r="P1002" s="117"/>
    </row>
    <row r="1003" spans="1:16" ht="15.75" customHeight="1" x14ac:dyDescent="0.25">
      <c r="A1003" s="130"/>
      <c r="B1003" s="130"/>
      <c r="C1003" s="130"/>
      <c r="D1003" s="130"/>
      <c r="E1003" s="130"/>
      <c r="F1003" s="130"/>
      <c r="G1003" s="130"/>
      <c r="H1003" s="130"/>
      <c r="I1003" s="130"/>
      <c r="J1003" s="130"/>
      <c r="K1003" s="130"/>
      <c r="L1003" s="130"/>
      <c r="M1003" s="130"/>
      <c r="N1003" s="130"/>
      <c r="O1003" s="130"/>
      <c r="P1003" s="117"/>
    </row>
    <row r="1004" spans="1:16" ht="15.75" customHeight="1" x14ac:dyDescent="0.25">
      <c r="A1004" s="130"/>
      <c r="B1004" s="130"/>
      <c r="C1004" s="130"/>
      <c r="D1004" s="130"/>
      <c r="E1004" s="130"/>
      <c r="F1004" s="130"/>
      <c r="G1004" s="130"/>
      <c r="H1004" s="130"/>
      <c r="I1004" s="130"/>
      <c r="J1004" s="130"/>
      <c r="K1004" s="130"/>
      <c r="L1004" s="130"/>
      <c r="M1004" s="130"/>
      <c r="N1004" s="130"/>
      <c r="O1004" s="130"/>
      <c r="P1004" s="117"/>
    </row>
    <row r="1005" spans="1:16" ht="15.75" customHeight="1" x14ac:dyDescent="0.25">
      <c r="A1005" s="130"/>
      <c r="B1005" s="130"/>
      <c r="C1005" s="130"/>
      <c r="D1005" s="130"/>
      <c r="E1005" s="130"/>
      <c r="F1005" s="130"/>
      <c r="G1005" s="130"/>
      <c r="H1005" s="130"/>
      <c r="I1005" s="130"/>
      <c r="J1005" s="130"/>
      <c r="K1005" s="130"/>
      <c r="L1005" s="130"/>
      <c r="M1005" s="130"/>
      <c r="N1005" s="130"/>
      <c r="O1005" s="130"/>
      <c r="P1005" s="117"/>
    </row>
    <row r="1006" spans="1:16" ht="15.75" customHeight="1" x14ac:dyDescent="0.25">
      <c r="A1006" s="130"/>
      <c r="B1006" s="130"/>
      <c r="C1006" s="130"/>
      <c r="D1006" s="130"/>
      <c r="E1006" s="130"/>
      <c r="F1006" s="130"/>
      <c r="G1006" s="130"/>
      <c r="H1006" s="130"/>
      <c r="I1006" s="130"/>
      <c r="J1006" s="130"/>
      <c r="K1006" s="130"/>
      <c r="L1006" s="130"/>
      <c r="M1006" s="130"/>
      <c r="N1006" s="130"/>
      <c r="O1006" s="130"/>
      <c r="P1006" s="117"/>
    </row>
    <row r="1007" spans="1:16" ht="15.75" customHeight="1" x14ac:dyDescent="0.25">
      <c r="A1007" s="130"/>
      <c r="B1007" s="130"/>
      <c r="C1007" s="130"/>
      <c r="D1007" s="130"/>
      <c r="E1007" s="130"/>
      <c r="F1007" s="130"/>
      <c r="G1007" s="130"/>
      <c r="H1007" s="130"/>
      <c r="I1007" s="130"/>
      <c r="J1007" s="130"/>
      <c r="K1007" s="130"/>
      <c r="L1007" s="130"/>
      <c r="M1007" s="130"/>
      <c r="N1007" s="130"/>
      <c r="O1007" s="130"/>
      <c r="P1007" s="117"/>
    </row>
    <row r="1008" spans="1:16" ht="15.75" customHeight="1" x14ac:dyDescent="0.25">
      <c r="A1008" s="130"/>
      <c r="B1008" s="130"/>
      <c r="C1008" s="130"/>
      <c r="D1008" s="130"/>
      <c r="E1008" s="130"/>
      <c r="F1008" s="130"/>
      <c r="G1008" s="130"/>
      <c r="H1008" s="130"/>
      <c r="I1008" s="130"/>
      <c r="J1008" s="130"/>
      <c r="K1008" s="130"/>
      <c r="L1008" s="130"/>
      <c r="M1008" s="130"/>
      <c r="N1008" s="130"/>
      <c r="O1008" s="130"/>
      <c r="P1008" s="117"/>
    </row>
    <row r="1009" spans="1:16" ht="15.75" customHeight="1" x14ac:dyDescent="0.25">
      <c r="A1009" s="130"/>
      <c r="B1009" s="130"/>
      <c r="C1009" s="130"/>
      <c r="D1009" s="130"/>
      <c r="E1009" s="130"/>
      <c r="F1009" s="130"/>
      <c r="G1009" s="130"/>
      <c r="H1009" s="130"/>
      <c r="I1009" s="130"/>
      <c r="J1009" s="130"/>
      <c r="K1009" s="130"/>
      <c r="L1009" s="130"/>
      <c r="M1009" s="130"/>
      <c r="N1009" s="130"/>
      <c r="O1009" s="130"/>
      <c r="P1009" s="117"/>
    </row>
    <row r="1010" spans="1:16" ht="15.75" customHeight="1" x14ac:dyDescent="0.25">
      <c r="A1010" s="130"/>
      <c r="B1010" s="130"/>
      <c r="C1010" s="130"/>
      <c r="D1010" s="130"/>
      <c r="E1010" s="130"/>
      <c r="F1010" s="130"/>
      <c r="G1010" s="130"/>
      <c r="H1010" s="130"/>
      <c r="I1010" s="130"/>
      <c r="J1010" s="130"/>
      <c r="K1010" s="130"/>
      <c r="L1010" s="130"/>
      <c r="M1010" s="130"/>
      <c r="N1010" s="130"/>
      <c r="O1010" s="130"/>
      <c r="P1010" s="117"/>
    </row>
    <row r="1011" spans="1:16" ht="15.75" customHeight="1" x14ac:dyDescent="0.25">
      <c r="A1011" s="130"/>
      <c r="B1011" s="130"/>
      <c r="C1011" s="130"/>
      <c r="D1011" s="130"/>
      <c r="E1011" s="130"/>
      <c r="F1011" s="130"/>
      <c r="G1011" s="130"/>
      <c r="H1011" s="130"/>
      <c r="I1011" s="130"/>
      <c r="J1011" s="130"/>
      <c r="K1011" s="130"/>
      <c r="L1011" s="130"/>
      <c r="M1011" s="130"/>
      <c r="N1011" s="130"/>
      <c r="O1011" s="130"/>
      <c r="P1011" s="117"/>
    </row>
    <row r="1012" spans="1:16" ht="15.75" customHeight="1" x14ac:dyDescent="0.25">
      <c r="A1012" s="130"/>
      <c r="B1012" s="130"/>
      <c r="C1012" s="130"/>
      <c r="D1012" s="130"/>
      <c r="E1012" s="130"/>
      <c r="F1012" s="130"/>
      <c r="G1012" s="130"/>
      <c r="H1012" s="130"/>
      <c r="I1012" s="130"/>
      <c r="J1012" s="130"/>
      <c r="K1012" s="130"/>
      <c r="L1012" s="130"/>
      <c r="M1012" s="130"/>
      <c r="N1012" s="130"/>
      <c r="O1012" s="130"/>
      <c r="P1012" s="117"/>
    </row>
    <row r="1013" spans="1:16" ht="15.75" customHeight="1" x14ac:dyDescent="0.25">
      <c r="A1013" s="130"/>
      <c r="B1013" s="130"/>
      <c r="C1013" s="130"/>
      <c r="D1013" s="130"/>
      <c r="E1013" s="130"/>
      <c r="F1013" s="130"/>
      <c r="G1013" s="130"/>
      <c r="H1013" s="130"/>
      <c r="I1013" s="130"/>
      <c r="J1013" s="130"/>
      <c r="K1013" s="130"/>
      <c r="L1013" s="130"/>
      <c r="M1013" s="130"/>
      <c r="N1013" s="130"/>
      <c r="O1013" s="130"/>
      <c r="P1013" s="117"/>
    </row>
    <row r="1014" spans="1:16" ht="15.75" customHeight="1" x14ac:dyDescent="0.25">
      <c r="A1014" s="130"/>
      <c r="B1014" s="130"/>
      <c r="C1014" s="130"/>
      <c r="D1014" s="130"/>
      <c r="E1014" s="130"/>
      <c r="F1014" s="130"/>
      <c r="G1014" s="130"/>
      <c r="H1014" s="130"/>
      <c r="I1014" s="130"/>
      <c r="J1014" s="130"/>
      <c r="K1014" s="130"/>
      <c r="L1014" s="130"/>
      <c r="M1014" s="130"/>
      <c r="N1014" s="130"/>
      <c r="O1014" s="130"/>
      <c r="P1014" s="117"/>
    </row>
    <row r="1015" spans="1:16" ht="15.75" customHeight="1" x14ac:dyDescent="0.25">
      <c r="A1015" s="130"/>
      <c r="B1015" s="130"/>
      <c r="C1015" s="130"/>
      <c r="D1015" s="130"/>
      <c r="E1015" s="130"/>
      <c r="F1015" s="130"/>
      <c r="G1015" s="130"/>
      <c r="H1015" s="130"/>
      <c r="I1015" s="130"/>
      <c r="J1015" s="130"/>
      <c r="K1015" s="130"/>
      <c r="L1015" s="130"/>
      <c r="M1015" s="130"/>
      <c r="N1015" s="130"/>
      <c r="O1015" s="130"/>
      <c r="P1015" s="117"/>
    </row>
    <row r="1016" spans="1:16" ht="15.75" customHeight="1" x14ac:dyDescent="0.25">
      <c r="A1016" s="130"/>
      <c r="B1016" s="130"/>
      <c r="C1016" s="130"/>
      <c r="D1016" s="130"/>
      <c r="E1016" s="130"/>
      <c r="F1016" s="130"/>
      <c r="G1016" s="130"/>
      <c r="H1016" s="130"/>
      <c r="I1016" s="130"/>
      <c r="J1016" s="130"/>
      <c r="K1016" s="130"/>
      <c r="L1016" s="130"/>
      <c r="M1016" s="130"/>
      <c r="N1016" s="130"/>
      <c r="O1016" s="130"/>
      <c r="P1016" s="117"/>
    </row>
    <row r="1017" spans="1:16" ht="15.75" customHeight="1" x14ac:dyDescent="0.25">
      <c r="A1017" s="130"/>
      <c r="B1017" s="130"/>
      <c r="C1017" s="130"/>
      <c r="D1017" s="130"/>
      <c r="E1017" s="130"/>
      <c r="F1017" s="130"/>
      <c r="G1017" s="130"/>
      <c r="H1017" s="130"/>
      <c r="I1017" s="130"/>
      <c r="J1017" s="130"/>
      <c r="K1017" s="130"/>
      <c r="L1017" s="130"/>
      <c r="M1017" s="130"/>
      <c r="N1017" s="130"/>
      <c r="O1017" s="130"/>
      <c r="P1017" s="117"/>
    </row>
    <row r="1018" spans="1:16" ht="15.75" customHeight="1" x14ac:dyDescent="0.25">
      <c r="A1018" s="130"/>
      <c r="B1018" s="130"/>
      <c r="C1018" s="130"/>
      <c r="D1018" s="130"/>
      <c r="E1018" s="130"/>
      <c r="F1018" s="130"/>
      <c r="G1018" s="130"/>
      <c r="H1018" s="130"/>
      <c r="I1018" s="130"/>
      <c r="J1018" s="130"/>
      <c r="K1018" s="130"/>
      <c r="L1018" s="130"/>
      <c r="M1018" s="130"/>
      <c r="N1018" s="130"/>
      <c r="O1018" s="130"/>
      <c r="P1018" s="117"/>
    </row>
    <row r="1019" spans="1:16" ht="15.75" customHeight="1" x14ac:dyDescent="0.25">
      <c r="A1019" s="130"/>
      <c r="B1019" s="130"/>
      <c r="C1019" s="130"/>
      <c r="D1019" s="130"/>
      <c r="E1019" s="130"/>
      <c r="F1019" s="130"/>
      <c r="G1019" s="130"/>
      <c r="H1019" s="130"/>
      <c r="I1019" s="130"/>
      <c r="J1019" s="130"/>
      <c r="K1019" s="130"/>
      <c r="L1019" s="130"/>
      <c r="M1019" s="130"/>
      <c r="N1019" s="130"/>
      <c r="O1019" s="130"/>
      <c r="P1019" s="117"/>
    </row>
    <row r="1020" spans="1:16" ht="15.75" customHeight="1" x14ac:dyDescent="0.25">
      <c r="A1020" s="130"/>
      <c r="B1020" s="130"/>
      <c r="C1020" s="130"/>
      <c r="D1020" s="130"/>
      <c r="E1020" s="130"/>
      <c r="F1020" s="130"/>
      <c r="G1020" s="130"/>
      <c r="H1020" s="130"/>
      <c r="I1020" s="130"/>
      <c r="J1020" s="130"/>
      <c r="K1020" s="130"/>
      <c r="L1020" s="130"/>
      <c r="M1020" s="130"/>
      <c r="N1020" s="130"/>
      <c r="O1020" s="130"/>
      <c r="P1020" s="117"/>
    </row>
    <row r="1021" spans="1:16" ht="15.75" customHeight="1" x14ac:dyDescent="0.25">
      <c r="A1021" s="130"/>
      <c r="B1021" s="130"/>
      <c r="C1021" s="130"/>
      <c r="D1021" s="130"/>
      <c r="E1021" s="130"/>
      <c r="F1021" s="130"/>
      <c r="G1021" s="130"/>
      <c r="H1021" s="130"/>
      <c r="I1021" s="130"/>
      <c r="J1021" s="130"/>
      <c r="K1021" s="130"/>
      <c r="L1021" s="130"/>
      <c r="M1021" s="130"/>
      <c r="N1021" s="130"/>
      <c r="O1021" s="130"/>
      <c r="P1021" s="117"/>
    </row>
    <row r="1022" spans="1:16" ht="15.75" customHeight="1" x14ac:dyDescent="0.25">
      <c r="A1022" s="130"/>
      <c r="B1022" s="130"/>
      <c r="C1022" s="130"/>
      <c r="D1022" s="130"/>
      <c r="E1022" s="130"/>
      <c r="F1022" s="130"/>
      <c r="G1022" s="130"/>
      <c r="H1022" s="130"/>
      <c r="I1022" s="130"/>
      <c r="J1022" s="130"/>
      <c r="K1022" s="130"/>
      <c r="L1022" s="130"/>
      <c r="M1022" s="130"/>
      <c r="N1022" s="130"/>
      <c r="O1022" s="130"/>
      <c r="P1022" s="117"/>
    </row>
    <row r="1023" spans="1:16" ht="15.75" customHeight="1" x14ac:dyDescent="0.25">
      <c r="A1023" s="130"/>
      <c r="B1023" s="130"/>
      <c r="C1023" s="130"/>
      <c r="D1023" s="130"/>
      <c r="E1023" s="130"/>
      <c r="F1023" s="130"/>
      <c r="G1023" s="130"/>
      <c r="H1023" s="130"/>
      <c r="I1023" s="130"/>
      <c r="J1023" s="130"/>
      <c r="K1023" s="130"/>
      <c r="L1023" s="130"/>
      <c r="M1023" s="130"/>
      <c r="N1023" s="130"/>
      <c r="O1023" s="130"/>
      <c r="P1023" s="117"/>
    </row>
    <row r="1024" spans="1:16" ht="15.75" customHeight="1" x14ac:dyDescent="0.25">
      <c r="A1024" s="130"/>
      <c r="B1024" s="130"/>
      <c r="C1024" s="130"/>
      <c r="D1024" s="130"/>
      <c r="E1024" s="130"/>
      <c r="F1024" s="130"/>
      <c r="G1024" s="130"/>
      <c r="H1024" s="130"/>
      <c r="I1024" s="130"/>
      <c r="J1024" s="130"/>
      <c r="K1024" s="130"/>
      <c r="L1024" s="130"/>
      <c r="M1024" s="130"/>
      <c r="N1024" s="130"/>
      <c r="O1024" s="130"/>
      <c r="P1024" s="117"/>
    </row>
    <row r="1025" spans="1:16" ht="15.75" customHeight="1" x14ac:dyDescent="0.25">
      <c r="A1025" s="130"/>
      <c r="B1025" s="130"/>
      <c r="C1025" s="130"/>
      <c r="D1025" s="130"/>
      <c r="E1025" s="130"/>
      <c r="F1025" s="130"/>
      <c r="G1025" s="130"/>
      <c r="H1025" s="130"/>
      <c r="I1025" s="130"/>
      <c r="J1025" s="130"/>
      <c r="K1025" s="130"/>
      <c r="L1025" s="130"/>
      <c r="M1025" s="130"/>
      <c r="N1025" s="130"/>
      <c r="O1025" s="130"/>
      <c r="P1025" s="117"/>
    </row>
    <row r="1026" spans="1:16" ht="15.75" customHeight="1" x14ac:dyDescent="0.25">
      <c r="A1026" s="130"/>
      <c r="B1026" s="130"/>
      <c r="C1026" s="130"/>
      <c r="D1026" s="130"/>
      <c r="E1026" s="130"/>
      <c r="F1026" s="130"/>
      <c r="G1026" s="130"/>
      <c r="H1026" s="130"/>
      <c r="I1026" s="130"/>
      <c r="J1026" s="130"/>
      <c r="K1026" s="130"/>
      <c r="L1026" s="130"/>
      <c r="M1026" s="130"/>
      <c r="N1026" s="130"/>
      <c r="O1026" s="130"/>
      <c r="P1026" s="117"/>
    </row>
    <row r="1027" spans="1:16" ht="15.75" customHeight="1" x14ac:dyDescent="0.25">
      <c r="A1027" s="130"/>
      <c r="B1027" s="130"/>
      <c r="C1027" s="130"/>
      <c r="D1027" s="130"/>
      <c r="E1027" s="130"/>
      <c r="F1027" s="130"/>
      <c r="G1027" s="130"/>
      <c r="H1027" s="130"/>
      <c r="I1027" s="130"/>
      <c r="J1027" s="130"/>
      <c r="K1027" s="130"/>
      <c r="L1027" s="130"/>
      <c r="M1027" s="130"/>
      <c r="N1027" s="130"/>
      <c r="O1027" s="130"/>
      <c r="P1027" s="117"/>
    </row>
    <row r="1028" spans="1:16" ht="15.75" customHeight="1" x14ac:dyDescent="0.25">
      <c r="A1028" s="130"/>
      <c r="B1028" s="130"/>
      <c r="C1028" s="130"/>
      <c r="D1028" s="130"/>
      <c r="E1028" s="130"/>
      <c r="F1028" s="130"/>
      <c r="G1028" s="130"/>
      <c r="H1028" s="130"/>
      <c r="I1028" s="130"/>
      <c r="J1028" s="130"/>
      <c r="K1028" s="130"/>
      <c r="L1028" s="130"/>
      <c r="M1028" s="130"/>
      <c r="N1028" s="130"/>
      <c r="O1028" s="130"/>
      <c r="P1028" s="117"/>
    </row>
    <row r="1029" spans="1:16" ht="15.75" customHeight="1" x14ac:dyDescent="0.25">
      <c r="A1029" s="130"/>
      <c r="B1029" s="130"/>
      <c r="C1029" s="130"/>
      <c r="D1029" s="130"/>
      <c r="E1029" s="130"/>
      <c r="F1029" s="130"/>
      <c r="G1029" s="130"/>
      <c r="H1029" s="130"/>
      <c r="I1029" s="130"/>
      <c r="J1029" s="130"/>
      <c r="K1029" s="130"/>
      <c r="L1029" s="130"/>
      <c r="M1029" s="130"/>
      <c r="N1029" s="130"/>
      <c r="O1029" s="130"/>
      <c r="P1029" s="117"/>
    </row>
    <row r="1030" spans="1:16" ht="15.75" customHeight="1" x14ac:dyDescent="0.25">
      <c r="A1030" s="130"/>
      <c r="B1030" s="130"/>
      <c r="C1030" s="130"/>
      <c r="D1030" s="130"/>
      <c r="E1030" s="130"/>
      <c r="F1030" s="130"/>
      <c r="G1030" s="130"/>
      <c r="H1030" s="130"/>
      <c r="I1030" s="130"/>
      <c r="J1030" s="130"/>
      <c r="K1030" s="130"/>
      <c r="L1030" s="130"/>
      <c r="M1030" s="130"/>
      <c r="N1030" s="130"/>
      <c r="O1030" s="130"/>
      <c r="P1030" s="117"/>
    </row>
    <row r="1031" spans="1:16" ht="15.75" customHeight="1" x14ac:dyDescent="0.25">
      <c r="A1031" s="130"/>
      <c r="B1031" s="130"/>
      <c r="C1031" s="130"/>
      <c r="D1031" s="130"/>
      <c r="E1031" s="130"/>
      <c r="F1031" s="130"/>
      <c r="G1031" s="130"/>
      <c r="H1031" s="130"/>
      <c r="I1031" s="130"/>
      <c r="J1031" s="130"/>
      <c r="K1031" s="130"/>
      <c r="L1031" s="130"/>
      <c r="M1031" s="130"/>
      <c r="N1031" s="130"/>
      <c r="O1031" s="130"/>
      <c r="P1031" s="117"/>
    </row>
    <row r="1032" spans="1:16" ht="15.75" customHeight="1" x14ac:dyDescent="0.25">
      <c r="A1032" s="130"/>
      <c r="B1032" s="130"/>
      <c r="C1032" s="130"/>
      <c r="D1032" s="130"/>
      <c r="E1032" s="130"/>
      <c r="F1032" s="130"/>
      <c r="G1032" s="130"/>
      <c r="H1032" s="130"/>
      <c r="I1032" s="130"/>
      <c r="J1032" s="130"/>
      <c r="K1032" s="130"/>
      <c r="L1032" s="130"/>
      <c r="M1032" s="130"/>
      <c r="N1032" s="130"/>
      <c r="O1032" s="130"/>
      <c r="P1032" s="117"/>
    </row>
  </sheetData>
  <mergeCells count="11">
    <mergeCell ref="F51:G51"/>
    <mergeCell ref="J51:K51"/>
    <mergeCell ref="B52:C52"/>
    <mergeCell ref="A1:P1"/>
    <mergeCell ref="A2:B3"/>
    <mergeCell ref="C2:C3"/>
    <mergeCell ref="D2:G2"/>
    <mergeCell ref="H2:J2"/>
    <mergeCell ref="L2:P2"/>
    <mergeCell ref="B51:C51"/>
    <mergeCell ref="N51:O51"/>
  </mergeCells>
  <conditionalFormatting sqref="A4:O48">
    <cfRule type="expression" dxfId="17" priority="1">
      <formula>$L4="Pendiente de confirmacion por parte de telmex"</formula>
    </cfRule>
    <cfRule type="expression" dxfId="16" priority="2">
      <formula>$L4="250Mbps Simetrico"</formula>
    </cfRule>
  </conditionalFormatting>
  <hyperlinks>
    <hyperlink ref="D4" r:id="rId1" xr:uid="{00000000-0004-0000-0600-000000000000}"/>
    <hyperlink ref="D5" r:id="rId2" xr:uid="{00000000-0004-0000-0600-000001000000}"/>
    <hyperlink ref="D6" r:id="rId3" xr:uid="{00000000-0004-0000-0600-000002000000}"/>
    <hyperlink ref="D7" r:id="rId4" xr:uid="{00000000-0004-0000-0600-000003000000}"/>
    <hyperlink ref="D8" r:id="rId5" xr:uid="{00000000-0004-0000-0600-000004000000}"/>
    <hyperlink ref="D9" r:id="rId6" xr:uid="{00000000-0004-0000-0600-000005000000}"/>
    <hyperlink ref="D10" r:id="rId7" xr:uid="{00000000-0004-0000-0600-000006000000}"/>
    <hyperlink ref="D11" r:id="rId8" xr:uid="{00000000-0004-0000-0600-000007000000}"/>
    <hyperlink ref="D12" r:id="rId9" xr:uid="{00000000-0004-0000-0600-000008000000}"/>
    <hyperlink ref="D13" r:id="rId10" xr:uid="{00000000-0004-0000-0600-000009000000}"/>
    <hyperlink ref="D14" r:id="rId11" xr:uid="{00000000-0004-0000-0600-00000A000000}"/>
    <hyperlink ref="D15" r:id="rId12" xr:uid="{00000000-0004-0000-0600-00000B000000}"/>
    <hyperlink ref="D16" r:id="rId13" xr:uid="{00000000-0004-0000-0600-00000C000000}"/>
    <hyperlink ref="D17" r:id="rId14" xr:uid="{00000000-0004-0000-0600-00000D000000}"/>
    <hyperlink ref="D18" r:id="rId15" xr:uid="{00000000-0004-0000-0600-00000E000000}"/>
    <hyperlink ref="D19" r:id="rId16" xr:uid="{00000000-0004-0000-0600-00000F000000}"/>
    <hyperlink ref="D20" r:id="rId17" xr:uid="{00000000-0004-0000-0600-000010000000}"/>
    <hyperlink ref="D21" r:id="rId18" xr:uid="{00000000-0004-0000-0600-000011000000}"/>
    <hyperlink ref="D22" r:id="rId19" xr:uid="{00000000-0004-0000-0600-000012000000}"/>
    <hyperlink ref="D23" r:id="rId20" xr:uid="{00000000-0004-0000-0600-000013000000}"/>
    <hyperlink ref="D24" r:id="rId21" xr:uid="{00000000-0004-0000-0600-000014000000}"/>
    <hyperlink ref="D25" r:id="rId22" xr:uid="{00000000-0004-0000-0600-000015000000}"/>
    <hyperlink ref="D26" r:id="rId23" xr:uid="{00000000-0004-0000-0600-000016000000}"/>
    <hyperlink ref="D27" r:id="rId24" xr:uid="{00000000-0004-0000-0600-000017000000}"/>
    <hyperlink ref="D28" r:id="rId25" xr:uid="{00000000-0004-0000-0600-000018000000}"/>
    <hyperlink ref="D29" r:id="rId26" xr:uid="{00000000-0004-0000-0600-000019000000}"/>
    <hyperlink ref="D30" r:id="rId27" xr:uid="{00000000-0004-0000-0600-00001A000000}"/>
    <hyperlink ref="D31" r:id="rId28" xr:uid="{00000000-0004-0000-0600-00001B000000}"/>
    <hyperlink ref="D32" r:id="rId29" xr:uid="{00000000-0004-0000-0600-00001C000000}"/>
    <hyperlink ref="D33" r:id="rId30" xr:uid="{00000000-0004-0000-0600-00001D000000}"/>
    <hyperlink ref="D34" r:id="rId31" xr:uid="{00000000-0004-0000-0600-00001E000000}"/>
    <hyperlink ref="D35" r:id="rId32" xr:uid="{00000000-0004-0000-0600-00001F000000}"/>
    <hyperlink ref="D36" r:id="rId33" xr:uid="{00000000-0004-0000-0600-000020000000}"/>
    <hyperlink ref="D37" r:id="rId34" xr:uid="{00000000-0004-0000-0600-000021000000}"/>
    <hyperlink ref="D38" r:id="rId35" xr:uid="{00000000-0004-0000-0600-000022000000}"/>
    <hyperlink ref="D39" r:id="rId36" xr:uid="{00000000-0004-0000-0600-000023000000}"/>
    <hyperlink ref="D40" r:id="rId37" xr:uid="{00000000-0004-0000-0600-000024000000}"/>
    <hyperlink ref="D41" r:id="rId38" xr:uid="{00000000-0004-0000-0600-000025000000}"/>
    <hyperlink ref="D42" r:id="rId39" xr:uid="{00000000-0004-0000-0600-000026000000}"/>
    <hyperlink ref="D43" r:id="rId40" xr:uid="{00000000-0004-0000-0600-000027000000}"/>
    <hyperlink ref="D44" r:id="rId41" xr:uid="{00000000-0004-0000-0600-000028000000}"/>
    <hyperlink ref="D45" r:id="rId42" xr:uid="{00000000-0004-0000-0600-000029000000}"/>
    <hyperlink ref="D46" r:id="rId43" xr:uid="{00000000-0004-0000-0600-00002A000000}"/>
    <hyperlink ref="D47" r:id="rId44" xr:uid="{00000000-0004-0000-0600-00002B000000}"/>
    <hyperlink ref="D48" r:id="rId45" xr:uid="{00000000-0004-0000-0600-00002C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6"/>
  <sheetViews>
    <sheetView topLeftCell="B1" workbookViewId="0"/>
  </sheetViews>
  <sheetFormatPr baseColWidth="10" defaultColWidth="12.5703125" defaultRowHeight="15.75" customHeight="1" x14ac:dyDescent="0.2"/>
  <cols>
    <col min="1" max="1" width="23.28515625" hidden="1" customWidth="1"/>
    <col min="2" max="2" width="15.7109375" customWidth="1"/>
    <col min="3" max="3" width="19.7109375" customWidth="1"/>
    <col min="4" max="4" width="21.5703125" customWidth="1"/>
    <col min="5" max="5" width="17.42578125" customWidth="1"/>
  </cols>
  <sheetData>
    <row r="1" spans="1:5" x14ac:dyDescent="0.2">
      <c r="A1" s="182" t="s">
        <v>0</v>
      </c>
      <c r="B1" s="176"/>
      <c r="C1" s="177"/>
      <c r="D1" s="183" t="s">
        <v>1</v>
      </c>
      <c r="E1" s="174"/>
    </row>
    <row r="2" spans="1:5" x14ac:dyDescent="0.2">
      <c r="A2" s="4" t="s">
        <v>3</v>
      </c>
      <c r="B2" s="4" t="s">
        <v>4</v>
      </c>
      <c r="C2" s="4" t="s">
        <v>5</v>
      </c>
      <c r="D2" s="4" t="s">
        <v>6</v>
      </c>
      <c r="E2" s="4" t="s">
        <v>10</v>
      </c>
    </row>
    <row r="3" spans="1:5" x14ac:dyDescent="0.2">
      <c r="A3" s="9"/>
      <c r="B3" s="227" t="s">
        <v>348</v>
      </c>
      <c r="C3" s="227" t="s">
        <v>349</v>
      </c>
      <c r="D3" s="12" t="s">
        <v>101</v>
      </c>
      <c r="E3" s="35" t="s">
        <v>102</v>
      </c>
    </row>
    <row r="4" spans="1:5" x14ac:dyDescent="0.2">
      <c r="B4" s="185"/>
      <c r="C4" s="185"/>
      <c r="D4" s="12" t="s">
        <v>78</v>
      </c>
      <c r="E4" s="35" t="s">
        <v>79</v>
      </c>
    </row>
    <row r="5" spans="1:5" x14ac:dyDescent="0.2">
      <c r="B5" s="185"/>
      <c r="C5" s="185"/>
      <c r="D5" s="12" t="s">
        <v>60</v>
      </c>
      <c r="E5" s="35" t="s">
        <v>66</v>
      </c>
    </row>
    <row r="6" spans="1:5" x14ac:dyDescent="0.2">
      <c r="B6" s="186"/>
      <c r="C6" s="186"/>
      <c r="D6" s="12" t="s">
        <v>87</v>
      </c>
      <c r="E6" s="35" t="s">
        <v>93</v>
      </c>
    </row>
  </sheetData>
  <mergeCells count="4">
    <mergeCell ref="A1:C1"/>
    <mergeCell ref="D1:E1"/>
    <mergeCell ref="B3:B6"/>
    <mergeCell ref="C3:C6"/>
  </mergeCells>
  <conditionalFormatting sqref="A3:C3 D3:E6">
    <cfRule type="expression" dxfId="15" priority="1">
      <formula>#REF!="Primera Fase"</formula>
    </cfRule>
    <cfRule type="expression" dxfId="14" priority="2">
      <formula>#REF!="Segunda Fase"</formula>
    </cfRule>
    <cfRule type="expression" dxfId="13" priority="3">
      <formula>#REF!="Conflicto de Turno"</formula>
    </cfRule>
  </conditionalFormatting>
  <hyperlinks>
    <hyperlink ref="E3" r:id="rId1" xr:uid="{00000000-0004-0000-0700-000000000000}"/>
    <hyperlink ref="E4" r:id="rId2" xr:uid="{00000000-0004-0000-0700-000001000000}"/>
    <hyperlink ref="E5" r:id="rId3" xr:uid="{00000000-0004-0000-0700-000002000000}"/>
    <hyperlink ref="E6" r:id="rId4" xr:uid="{00000000-0004-0000-0700-00000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7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6" customWidth="1"/>
    <col min="3" max="3" width="17.42578125" customWidth="1"/>
    <col min="4" max="5" width="33.5703125" customWidth="1"/>
    <col min="6" max="6" width="24.7109375" customWidth="1"/>
    <col min="7" max="7" width="16.85546875" customWidth="1"/>
    <col min="8" max="8" width="41.140625" customWidth="1"/>
    <col min="9" max="9" width="30.42578125" customWidth="1"/>
    <col min="10" max="10" width="27.28515625" customWidth="1"/>
    <col min="11" max="12" width="20.140625" customWidth="1"/>
  </cols>
  <sheetData>
    <row r="1" spans="1:12" ht="75.75" customHeight="1" x14ac:dyDescent="0.2">
      <c r="A1" s="2"/>
      <c r="B1" s="228" t="s">
        <v>2</v>
      </c>
      <c r="C1" s="177"/>
      <c r="D1" s="8">
        <f>SUM(C3:C17)</f>
        <v>251</v>
      </c>
      <c r="E1" s="8"/>
      <c r="F1" s="229" t="s">
        <v>410</v>
      </c>
      <c r="G1" s="177"/>
      <c r="H1" s="8">
        <f>SUM(D3:D17)</f>
        <v>241</v>
      </c>
      <c r="I1" s="8"/>
      <c r="J1" s="8"/>
      <c r="K1" s="8"/>
      <c r="L1" s="164"/>
    </row>
    <row r="2" spans="1:12" ht="72" x14ac:dyDescent="0.2">
      <c r="A2" s="2"/>
      <c r="B2" s="2" t="s">
        <v>6</v>
      </c>
      <c r="C2" s="2" t="s">
        <v>413</v>
      </c>
      <c r="D2" s="2" t="s">
        <v>414</v>
      </c>
      <c r="E2" s="2" t="s">
        <v>50</v>
      </c>
      <c r="F2" s="2" t="s">
        <v>415</v>
      </c>
      <c r="G2" s="2" t="s">
        <v>53</v>
      </c>
      <c r="H2" s="165" t="s">
        <v>8</v>
      </c>
      <c r="I2" s="165" t="s">
        <v>10</v>
      </c>
      <c r="J2" s="165" t="s">
        <v>416</v>
      </c>
      <c r="K2" s="2" t="s">
        <v>11</v>
      </c>
      <c r="L2" s="2" t="s">
        <v>417</v>
      </c>
    </row>
    <row r="3" spans="1:12" ht="75" x14ac:dyDescent="0.2">
      <c r="A3" s="2">
        <v>1</v>
      </c>
      <c r="B3" s="32" t="s">
        <v>24</v>
      </c>
      <c r="C3" s="32">
        <v>20</v>
      </c>
      <c r="D3" s="32">
        <v>20</v>
      </c>
      <c r="E3" s="32" t="s">
        <v>358</v>
      </c>
      <c r="F3" s="32" t="s">
        <v>418</v>
      </c>
      <c r="G3" s="32" t="s">
        <v>362</v>
      </c>
      <c r="H3" s="32" t="s">
        <v>25</v>
      </c>
      <c r="I3" s="35" t="s">
        <v>26</v>
      </c>
      <c r="J3" s="32" t="s">
        <v>422</v>
      </c>
      <c r="K3" s="37" t="s">
        <v>34</v>
      </c>
      <c r="L3" s="32" t="s">
        <v>423</v>
      </c>
    </row>
    <row r="4" spans="1:12" ht="105" x14ac:dyDescent="0.2">
      <c r="A4" s="2">
        <v>2</v>
      </c>
      <c r="B4" s="32" t="s">
        <v>226</v>
      </c>
      <c r="C4" s="32">
        <v>20</v>
      </c>
      <c r="D4" s="32">
        <v>10</v>
      </c>
      <c r="E4" s="32" t="s">
        <v>273</v>
      </c>
      <c r="F4" s="32" t="s">
        <v>418</v>
      </c>
      <c r="G4" s="32" t="s">
        <v>274</v>
      </c>
      <c r="H4" s="32" t="s">
        <v>220</v>
      </c>
      <c r="I4" s="35" t="s">
        <v>227</v>
      </c>
      <c r="J4" s="32" t="s">
        <v>422</v>
      </c>
      <c r="K4" s="37" t="s">
        <v>34</v>
      </c>
      <c r="L4" s="32" t="s">
        <v>428</v>
      </c>
    </row>
    <row r="5" spans="1:12" ht="75" x14ac:dyDescent="0.2">
      <c r="A5" s="2">
        <v>3</v>
      </c>
      <c r="B5" s="32" t="s">
        <v>290</v>
      </c>
      <c r="C5" s="32">
        <v>20</v>
      </c>
      <c r="D5" s="32">
        <v>20</v>
      </c>
      <c r="E5" s="32" t="s">
        <v>372</v>
      </c>
      <c r="F5" s="32" t="s">
        <v>418</v>
      </c>
      <c r="G5" s="32" t="s">
        <v>152</v>
      </c>
      <c r="H5" s="32" t="s">
        <v>153</v>
      </c>
      <c r="I5" s="35" t="s">
        <v>291</v>
      </c>
      <c r="J5" s="32" t="s">
        <v>422</v>
      </c>
      <c r="K5" s="37" t="s">
        <v>34</v>
      </c>
      <c r="L5" s="32"/>
    </row>
    <row r="6" spans="1:12" ht="105" x14ac:dyDescent="0.2">
      <c r="A6" s="2">
        <v>4</v>
      </c>
      <c r="B6" s="32" t="s">
        <v>97</v>
      </c>
      <c r="C6" s="32">
        <v>20</v>
      </c>
      <c r="D6" s="32">
        <v>20</v>
      </c>
      <c r="E6" s="32" t="s">
        <v>150</v>
      </c>
      <c r="F6" s="32" t="s">
        <v>418</v>
      </c>
      <c r="G6" s="32" t="s">
        <v>152</v>
      </c>
      <c r="H6" s="32" t="s">
        <v>153</v>
      </c>
      <c r="I6" s="35" t="s">
        <v>154</v>
      </c>
      <c r="J6" s="32" t="s">
        <v>422</v>
      </c>
      <c r="K6" s="37" t="s">
        <v>34</v>
      </c>
      <c r="L6" s="32"/>
    </row>
    <row r="7" spans="1:12" ht="90" x14ac:dyDescent="0.2">
      <c r="A7" s="2">
        <v>5</v>
      </c>
      <c r="B7" s="32" t="s">
        <v>41</v>
      </c>
      <c r="C7" s="32">
        <v>18</v>
      </c>
      <c r="D7" s="32">
        <v>18</v>
      </c>
      <c r="E7" s="32"/>
      <c r="F7" s="32" t="s">
        <v>418</v>
      </c>
      <c r="G7" s="32"/>
      <c r="H7" s="32" t="s">
        <v>76</v>
      </c>
      <c r="I7" s="35" t="s">
        <v>77</v>
      </c>
      <c r="J7" s="32" t="s">
        <v>422</v>
      </c>
      <c r="K7" s="37" t="s">
        <v>34</v>
      </c>
      <c r="L7" s="32"/>
    </row>
    <row r="8" spans="1:12" ht="75" x14ac:dyDescent="0.2">
      <c r="A8" s="2">
        <v>6</v>
      </c>
      <c r="B8" s="32" t="s">
        <v>60</v>
      </c>
      <c r="C8" s="32">
        <v>5</v>
      </c>
      <c r="D8" s="32">
        <v>5</v>
      </c>
      <c r="E8" s="32" t="s">
        <v>211</v>
      </c>
      <c r="F8" s="32" t="s">
        <v>418</v>
      </c>
      <c r="G8" s="32"/>
      <c r="H8" s="32" t="s">
        <v>65</v>
      </c>
      <c r="I8" s="35" t="s">
        <v>66</v>
      </c>
      <c r="J8" s="32" t="s">
        <v>422</v>
      </c>
      <c r="K8" s="37" t="s">
        <v>34</v>
      </c>
      <c r="L8" s="32"/>
    </row>
    <row r="9" spans="1:12" ht="75" x14ac:dyDescent="0.2">
      <c r="A9" s="2">
        <v>7</v>
      </c>
      <c r="B9" s="32" t="s">
        <v>78</v>
      </c>
      <c r="C9" s="32">
        <v>20</v>
      </c>
      <c r="D9" s="32">
        <v>20</v>
      </c>
      <c r="E9" s="32" t="s">
        <v>218</v>
      </c>
      <c r="F9" s="32" t="s">
        <v>418</v>
      </c>
      <c r="G9" s="32"/>
      <c r="H9" s="32" t="s">
        <v>65</v>
      </c>
      <c r="I9" s="35" t="s">
        <v>79</v>
      </c>
      <c r="J9" s="32" t="s">
        <v>422</v>
      </c>
      <c r="K9" s="37" t="s">
        <v>34</v>
      </c>
      <c r="L9" s="32"/>
    </row>
    <row r="10" spans="1:12" ht="75" x14ac:dyDescent="0.2">
      <c r="A10" s="2">
        <v>8</v>
      </c>
      <c r="B10" s="32" t="s">
        <v>94</v>
      </c>
      <c r="C10" s="32">
        <v>20</v>
      </c>
      <c r="D10" s="32">
        <v>20</v>
      </c>
      <c r="E10" s="32" t="s">
        <v>136</v>
      </c>
      <c r="F10" s="32" t="s">
        <v>418</v>
      </c>
      <c r="G10" s="32" t="s">
        <v>138</v>
      </c>
      <c r="H10" s="32" t="s">
        <v>139</v>
      </c>
      <c r="I10" s="35" t="s">
        <v>140</v>
      </c>
      <c r="J10" s="32" t="s">
        <v>422</v>
      </c>
      <c r="K10" s="37" t="s">
        <v>34</v>
      </c>
      <c r="L10" s="32"/>
    </row>
    <row r="11" spans="1:12" ht="90" x14ac:dyDescent="0.2">
      <c r="A11" s="2">
        <v>9</v>
      </c>
      <c r="B11" s="32" t="s">
        <v>191</v>
      </c>
      <c r="C11" s="32">
        <v>12</v>
      </c>
      <c r="D11" s="32">
        <v>12</v>
      </c>
      <c r="E11" s="32"/>
      <c r="F11" s="32" t="s">
        <v>418</v>
      </c>
      <c r="G11" s="32" t="s">
        <v>408</v>
      </c>
      <c r="H11" s="32" t="s">
        <v>193</v>
      </c>
      <c r="I11" s="35" t="s">
        <v>194</v>
      </c>
      <c r="J11" s="32" t="s">
        <v>422</v>
      </c>
      <c r="K11" s="37" t="s">
        <v>34</v>
      </c>
      <c r="L11" s="32"/>
    </row>
    <row r="12" spans="1:12" ht="75" x14ac:dyDescent="0.2">
      <c r="A12" s="2">
        <v>10</v>
      </c>
      <c r="B12" s="32" t="s">
        <v>103</v>
      </c>
      <c r="C12" s="32">
        <v>20</v>
      </c>
      <c r="D12" s="32">
        <v>20</v>
      </c>
      <c r="E12" s="32" t="s">
        <v>198</v>
      </c>
      <c r="F12" s="32" t="s">
        <v>418</v>
      </c>
      <c r="G12" s="32" t="s">
        <v>436</v>
      </c>
      <c r="H12" s="32" t="s">
        <v>203</v>
      </c>
      <c r="I12" s="35" t="s">
        <v>204</v>
      </c>
      <c r="J12" s="32" t="s">
        <v>422</v>
      </c>
      <c r="K12" s="37" t="s">
        <v>34</v>
      </c>
      <c r="L12" s="32"/>
    </row>
    <row r="13" spans="1:12" ht="105" x14ac:dyDescent="0.2">
      <c r="A13" s="2">
        <v>11</v>
      </c>
      <c r="B13" s="32" t="s">
        <v>56</v>
      </c>
      <c r="C13" s="32">
        <v>20</v>
      </c>
      <c r="D13" s="32">
        <v>20</v>
      </c>
      <c r="E13" s="32" t="s">
        <v>184</v>
      </c>
      <c r="F13" s="32" t="s">
        <v>418</v>
      </c>
      <c r="G13" s="32" t="s">
        <v>185</v>
      </c>
      <c r="H13" s="32" t="s">
        <v>58</v>
      </c>
      <c r="I13" s="35" t="s">
        <v>63</v>
      </c>
      <c r="J13" s="32" t="s">
        <v>422</v>
      </c>
      <c r="K13" s="37" t="s">
        <v>34</v>
      </c>
      <c r="L13" s="32"/>
    </row>
    <row r="14" spans="1:12" ht="90" x14ac:dyDescent="0.2">
      <c r="A14" s="2">
        <v>12</v>
      </c>
      <c r="B14" s="32" t="s">
        <v>243</v>
      </c>
      <c r="C14" s="32">
        <v>18</v>
      </c>
      <c r="D14" s="32">
        <v>18</v>
      </c>
      <c r="E14" s="32" t="s">
        <v>315</v>
      </c>
      <c r="F14" s="32" t="s">
        <v>418</v>
      </c>
      <c r="G14" s="32" t="s">
        <v>316</v>
      </c>
      <c r="H14" s="32" t="s">
        <v>238</v>
      </c>
      <c r="I14" s="35" t="s">
        <v>244</v>
      </c>
      <c r="J14" s="32" t="s">
        <v>422</v>
      </c>
      <c r="K14" s="37" t="s">
        <v>34</v>
      </c>
      <c r="L14" s="32"/>
    </row>
    <row r="15" spans="1:12" ht="60" x14ac:dyDescent="0.2">
      <c r="A15" s="2">
        <v>13</v>
      </c>
      <c r="B15" s="32" t="s">
        <v>108</v>
      </c>
      <c r="C15" s="32">
        <v>10</v>
      </c>
      <c r="D15" s="32">
        <v>10</v>
      </c>
      <c r="E15" s="32" t="s">
        <v>222</v>
      </c>
      <c r="F15" s="32" t="s">
        <v>418</v>
      </c>
      <c r="G15" s="32"/>
      <c r="H15" s="32" t="s">
        <v>223</v>
      </c>
      <c r="I15" s="35" t="s">
        <v>224</v>
      </c>
      <c r="J15" s="32" t="s">
        <v>422</v>
      </c>
      <c r="K15" s="37" t="s">
        <v>34</v>
      </c>
      <c r="L15" s="32"/>
    </row>
    <row r="16" spans="1:12" ht="90" x14ac:dyDescent="0.2">
      <c r="A16" s="2">
        <v>14</v>
      </c>
      <c r="B16" s="32" t="s">
        <v>114</v>
      </c>
      <c r="C16" s="32">
        <v>10</v>
      </c>
      <c r="D16" s="32">
        <v>10</v>
      </c>
      <c r="E16" s="32" t="s">
        <v>231</v>
      </c>
      <c r="F16" s="32" t="s">
        <v>418</v>
      </c>
      <c r="G16" s="32"/>
      <c r="H16" s="32" t="s">
        <v>223</v>
      </c>
      <c r="I16" s="35" t="s">
        <v>233</v>
      </c>
      <c r="J16" s="32" t="s">
        <v>422</v>
      </c>
      <c r="K16" s="37" t="s">
        <v>34</v>
      </c>
      <c r="L16" s="32"/>
    </row>
    <row r="17" spans="1:12" ht="90" x14ac:dyDescent="0.2">
      <c r="A17" s="2">
        <v>15</v>
      </c>
      <c r="B17" s="32" t="s">
        <v>99</v>
      </c>
      <c r="C17" s="32">
        <v>18</v>
      </c>
      <c r="D17" s="32">
        <v>18</v>
      </c>
      <c r="E17" s="32" t="s">
        <v>173</v>
      </c>
      <c r="F17" s="32" t="s">
        <v>418</v>
      </c>
      <c r="G17" s="32" t="s">
        <v>175</v>
      </c>
      <c r="H17" s="32" t="s">
        <v>95</v>
      </c>
      <c r="I17" s="35" t="s">
        <v>135</v>
      </c>
      <c r="J17" s="32" t="s">
        <v>422</v>
      </c>
      <c r="K17" s="37" t="s">
        <v>34</v>
      </c>
      <c r="L17" s="32"/>
    </row>
  </sheetData>
  <mergeCells count="2">
    <mergeCell ref="B1:C1"/>
    <mergeCell ref="F1:G1"/>
  </mergeCells>
  <conditionalFormatting sqref="A3:L17">
    <cfRule type="expression" dxfId="12" priority="5">
      <formula>$J3="SI"</formula>
    </cfRule>
  </conditionalFormatting>
  <conditionalFormatting sqref="A4:L4 A7 A10 A13 A16">
    <cfRule type="expression" dxfId="11" priority="1">
      <formula>$K4="SI"</formula>
    </cfRule>
    <cfRule type="expression" dxfId="10" priority="2">
      <formula>$K4="NO"</formula>
    </cfRule>
    <cfRule type="expression" dxfId="9" priority="3">
      <formula>$K4="Revision"</formula>
    </cfRule>
    <cfRule type="expression" dxfId="8" priority="4">
      <formula>$K4="Conflicto de turnos"</formula>
    </cfRule>
  </conditionalFormatting>
  <dataValidations count="1">
    <dataValidation type="list" allowBlank="1" showErrorMessage="1" sqref="J3:J17" xr:uid="{00000000-0002-0000-0800-000000000000}">
      <formula1>"Si,No,Revision,Conflicto de turnos"</formula1>
    </dataValidation>
  </dataValidations>
  <hyperlinks>
    <hyperlink ref="I3" r:id="rId1" xr:uid="{00000000-0004-0000-0800-000000000000}"/>
    <hyperlink ref="K3" r:id="rId2" xr:uid="{00000000-0004-0000-0800-000001000000}"/>
    <hyperlink ref="I4" r:id="rId3" xr:uid="{00000000-0004-0000-0800-000002000000}"/>
    <hyperlink ref="K4" r:id="rId4" xr:uid="{00000000-0004-0000-0800-000003000000}"/>
    <hyperlink ref="I5" r:id="rId5" xr:uid="{00000000-0004-0000-0800-000004000000}"/>
    <hyperlink ref="K5" r:id="rId6" xr:uid="{00000000-0004-0000-0800-000005000000}"/>
    <hyperlink ref="I6" r:id="rId7" xr:uid="{00000000-0004-0000-0800-000006000000}"/>
    <hyperlink ref="K6" r:id="rId8" xr:uid="{00000000-0004-0000-0800-000007000000}"/>
    <hyperlink ref="I7" r:id="rId9" xr:uid="{00000000-0004-0000-0800-000008000000}"/>
    <hyperlink ref="K7" r:id="rId10" xr:uid="{00000000-0004-0000-0800-000009000000}"/>
    <hyperlink ref="I8" r:id="rId11" xr:uid="{00000000-0004-0000-0800-00000A000000}"/>
    <hyperlink ref="K8" r:id="rId12" xr:uid="{00000000-0004-0000-0800-00000B000000}"/>
    <hyperlink ref="I9" r:id="rId13" xr:uid="{00000000-0004-0000-0800-00000C000000}"/>
    <hyperlink ref="K9" r:id="rId14" xr:uid="{00000000-0004-0000-0800-00000D000000}"/>
    <hyperlink ref="I10" r:id="rId15" xr:uid="{00000000-0004-0000-0800-00000E000000}"/>
    <hyperlink ref="K10" r:id="rId16" xr:uid="{00000000-0004-0000-0800-00000F000000}"/>
    <hyperlink ref="I11" r:id="rId17" xr:uid="{00000000-0004-0000-0800-000010000000}"/>
    <hyperlink ref="K11" r:id="rId18" xr:uid="{00000000-0004-0000-0800-000011000000}"/>
    <hyperlink ref="I12" r:id="rId19" xr:uid="{00000000-0004-0000-0800-000012000000}"/>
    <hyperlink ref="K12" r:id="rId20" xr:uid="{00000000-0004-0000-0800-000013000000}"/>
    <hyperlink ref="I13" r:id="rId21" xr:uid="{00000000-0004-0000-0800-000014000000}"/>
    <hyperlink ref="K13" r:id="rId22" xr:uid="{00000000-0004-0000-0800-000015000000}"/>
    <hyperlink ref="I14" r:id="rId23" xr:uid="{00000000-0004-0000-0800-000016000000}"/>
    <hyperlink ref="K14" r:id="rId24" xr:uid="{00000000-0004-0000-0800-000017000000}"/>
    <hyperlink ref="I15" r:id="rId25" xr:uid="{00000000-0004-0000-0800-000018000000}"/>
    <hyperlink ref="K15" r:id="rId26" xr:uid="{00000000-0004-0000-0800-000019000000}"/>
    <hyperlink ref="I16" r:id="rId27" xr:uid="{00000000-0004-0000-0800-00001A000000}"/>
    <hyperlink ref="K16" r:id="rId28" xr:uid="{00000000-0004-0000-0800-00001B000000}"/>
    <hyperlink ref="I17" r:id="rId29" xr:uid="{00000000-0004-0000-0800-00001C000000}"/>
    <hyperlink ref="K17" r:id="rId30" xr:uid="{00000000-0004-0000-0800-00001D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9"/>
  <sheetViews>
    <sheetView workbookViewId="0"/>
  </sheetViews>
  <sheetFormatPr baseColWidth="10" defaultColWidth="12.5703125" defaultRowHeight="15.75" customHeight="1" x14ac:dyDescent="0.2"/>
  <cols>
    <col min="1" max="1" width="3.5703125" customWidth="1"/>
    <col min="2" max="2" width="33.42578125" customWidth="1"/>
    <col min="3" max="3" width="17.42578125" customWidth="1"/>
    <col min="4" max="4" width="33.5703125" customWidth="1"/>
    <col min="5" max="5" width="36.7109375" customWidth="1"/>
    <col min="6" max="6" width="33.5703125" customWidth="1"/>
    <col min="7" max="7" width="31.140625" customWidth="1"/>
    <col min="8" max="8" width="33.140625" customWidth="1"/>
    <col min="9" max="9" width="33.7109375" customWidth="1"/>
    <col min="10" max="10" width="29.28515625" customWidth="1"/>
    <col min="11" max="11" width="18.42578125" customWidth="1"/>
  </cols>
  <sheetData>
    <row r="1" spans="1:11" x14ac:dyDescent="0.2">
      <c r="A1" s="2"/>
      <c r="B1" s="228" t="s">
        <v>2</v>
      </c>
      <c r="C1" s="177"/>
      <c r="D1" s="169">
        <f>SUM(C3:C29)</f>
        <v>365</v>
      </c>
      <c r="E1" s="230"/>
      <c r="F1" s="177"/>
      <c r="G1" s="170"/>
      <c r="H1" s="231"/>
      <c r="I1" s="177"/>
      <c r="J1" s="171"/>
      <c r="K1" s="172"/>
    </row>
    <row r="2" spans="1:11" x14ac:dyDescent="0.2">
      <c r="A2" s="2"/>
      <c r="B2" s="2" t="s">
        <v>6</v>
      </c>
      <c r="C2" s="2" t="s">
        <v>7</v>
      </c>
      <c r="D2" s="2" t="s">
        <v>50</v>
      </c>
      <c r="E2" s="2" t="s">
        <v>45</v>
      </c>
      <c r="F2" s="2" t="s">
        <v>53</v>
      </c>
      <c r="G2" s="2" t="s">
        <v>437</v>
      </c>
      <c r="H2" s="165" t="s">
        <v>8</v>
      </c>
      <c r="I2" s="165" t="s">
        <v>10</v>
      </c>
      <c r="J2" s="165" t="s">
        <v>416</v>
      </c>
      <c r="K2" s="2" t="s">
        <v>11</v>
      </c>
    </row>
    <row r="3" spans="1:11" x14ac:dyDescent="0.2">
      <c r="A3" s="2">
        <v>1</v>
      </c>
      <c r="B3" s="32" t="s">
        <v>219</v>
      </c>
      <c r="C3" s="32">
        <v>20</v>
      </c>
      <c r="D3" s="32" t="s">
        <v>269</v>
      </c>
      <c r="E3" s="32" t="s">
        <v>75</v>
      </c>
      <c r="F3" s="32" t="s">
        <v>270</v>
      </c>
      <c r="G3" s="37" t="s">
        <v>438</v>
      </c>
      <c r="H3" s="32" t="s">
        <v>220</v>
      </c>
      <c r="I3" s="35" t="s">
        <v>221</v>
      </c>
      <c r="J3" s="32" t="s">
        <v>439</v>
      </c>
      <c r="K3" s="37" t="s">
        <v>34</v>
      </c>
    </row>
    <row r="4" spans="1:11" x14ac:dyDescent="0.2">
      <c r="A4" s="2">
        <v>2</v>
      </c>
      <c r="B4" s="32" t="s">
        <v>167</v>
      </c>
      <c r="C4" s="32">
        <v>12</v>
      </c>
      <c r="D4" s="32" t="s">
        <v>380</v>
      </c>
      <c r="E4" s="32" t="s">
        <v>381</v>
      </c>
      <c r="F4" s="32" t="s">
        <v>382</v>
      </c>
      <c r="G4" s="37" t="s">
        <v>438</v>
      </c>
      <c r="H4" s="32" t="s">
        <v>168</v>
      </c>
      <c r="I4" s="35" t="s">
        <v>169</v>
      </c>
      <c r="J4" s="32" t="s">
        <v>439</v>
      </c>
      <c r="K4" s="37" t="s">
        <v>34</v>
      </c>
    </row>
    <row r="5" spans="1:11" x14ac:dyDescent="0.2">
      <c r="A5" s="2">
        <v>3</v>
      </c>
      <c r="B5" s="32" t="s">
        <v>247</v>
      </c>
      <c r="C5" s="32">
        <v>20</v>
      </c>
      <c r="D5" s="32" t="s">
        <v>308</v>
      </c>
      <c r="E5" s="32" t="s">
        <v>75</v>
      </c>
      <c r="F5" s="32" t="s">
        <v>278</v>
      </c>
      <c r="G5" s="37" t="s">
        <v>438</v>
      </c>
      <c r="H5" s="32" t="s">
        <v>296</v>
      </c>
      <c r="I5" s="35" t="s">
        <v>297</v>
      </c>
      <c r="J5" s="32" t="s">
        <v>439</v>
      </c>
      <c r="K5" s="37" t="s">
        <v>34</v>
      </c>
    </row>
    <row r="6" spans="1:11" x14ac:dyDescent="0.2">
      <c r="A6" s="2">
        <v>4</v>
      </c>
      <c r="B6" s="32" t="s">
        <v>171</v>
      </c>
      <c r="C6" s="32">
        <v>10</v>
      </c>
      <c r="D6" s="32" t="s">
        <v>277</v>
      </c>
      <c r="E6" s="32" t="s">
        <v>75</v>
      </c>
      <c r="F6" s="32" t="s">
        <v>289</v>
      </c>
      <c r="G6" s="37" t="s">
        <v>438</v>
      </c>
      <c r="H6" s="32" t="s">
        <v>76</v>
      </c>
      <c r="I6" s="35" t="s">
        <v>172</v>
      </c>
      <c r="J6" s="32" t="s">
        <v>439</v>
      </c>
      <c r="K6" s="37" t="s">
        <v>34</v>
      </c>
    </row>
    <row r="7" spans="1:11" x14ac:dyDescent="0.2">
      <c r="A7" s="2">
        <v>5</v>
      </c>
      <c r="B7" s="32" t="s">
        <v>186</v>
      </c>
      <c r="C7" s="32">
        <v>6</v>
      </c>
      <c r="D7" s="32" t="s">
        <v>277</v>
      </c>
      <c r="E7" s="32" t="s">
        <v>174</v>
      </c>
      <c r="F7" s="32"/>
      <c r="G7" s="37" t="s">
        <v>438</v>
      </c>
      <c r="H7" s="32" t="s">
        <v>76</v>
      </c>
      <c r="I7" s="35" t="s">
        <v>187</v>
      </c>
      <c r="J7" s="32" t="s">
        <v>439</v>
      </c>
      <c r="K7" s="37" t="s">
        <v>34</v>
      </c>
    </row>
    <row r="8" spans="1:11" x14ac:dyDescent="0.2">
      <c r="A8" s="2">
        <v>6</v>
      </c>
      <c r="B8" s="32" t="s">
        <v>111</v>
      </c>
      <c r="C8" s="32">
        <v>20</v>
      </c>
      <c r="D8" s="32" t="s">
        <v>277</v>
      </c>
      <c r="E8" s="32" t="s">
        <v>75</v>
      </c>
      <c r="F8" s="32" t="s">
        <v>278</v>
      </c>
      <c r="G8" s="37" t="s">
        <v>438</v>
      </c>
      <c r="H8" s="32" t="s">
        <v>112</v>
      </c>
      <c r="I8" s="35" t="s">
        <v>113</v>
      </c>
      <c r="J8" s="32" t="s">
        <v>439</v>
      </c>
      <c r="K8" s="37" t="s">
        <v>34</v>
      </c>
    </row>
    <row r="9" spans="1:11" x14ac:dyDescent="0.2">
      <c r="A9" s="2">
        <v>7</v>
      </c>
      <c r="B9" s="32" t="s">
        <v>127</v>
      </c>
      <c r="C9" s="32">
        <v>20</v>
      </c>
      <c r="D9" s="32" t="s">
        <v>286</v>
      </c>
      <c r="E9" s="32" t="s">
        <v>75</v>
      </c>
      <c r="F9" s="32" t="s">
        <v>287</v>
      </c>
      <c r="G9" s="37" t="s">
        <v>438</v>
      </c>
      <c r="H9" s="32" t="s">
        <v>112</v>
      </c>
      <c r="I9" s="35" t="s">
        <v>128</v>
      </c>
      <c r="J9" s="32" t="s">
        <v>439</v>
      </c>
      <c r="K9" s="37" t="s">
        <v>34</v>
      </c>
    </row>
    <row r="10" spans="1:11" x14ac:dyDescent="0.2">
      <c r="A10" s="2">
        <v>8</v>
      </c>
      <c r="B10" s="32" t="s">
        <v>250</v>
      </c>
      <c r="C10" s="32">
        <v>20</v>
      </c>
      <c r="D10" s="32" t="s">
        <v>303</v>
      </c>
      <c r="E10" s="32" t="s">
        <v>304</v>
      </c>
      <c r="F10" s="32"/>
      <c r="G10" s="37" t="s">
        <v>438</v>
      </c>
      <c r="H10" s="32" t="s">
        <v>260</v>
      </c>
      <c r="I10" s="35" t="s">
        <v>261</v>
      </c>
      <c r="J10" s="32" t="s">
        <v>439</v>
      </c>
      <c r="K10" s="37" t="s">
        <v>34</v>
      </c>
    </row>
    <row r="11" spans="1:11" x14ac:dyDescent="0.2">
      <c r="A11" s="2">
        <v>9</v>
      </c>
      <c r="B11" s="32" t="s">
        <v>87</v>
      </c>
      <c r="C11" s="32">
        <v>15</v>
      </c>
      <c r="D11" s="32" t="s">
        <v>293</v>
      </c>
      <c r="E11" s="32" t="s">
        <v>200</v>
      </c>
      <c r="F11" s="32" t="s">
        <v>294</v>
      </c>
      <c r="G11" s="37" t="s">
        <v>438</v>
      </c>
      <c r="H11" s="32" t="s">
        <v>65</v>
      </c>
      <c r="I11" s="35" t="s">
        <v>93</v>
      </c>
      <c r="J11" s="32" t="s">
        <v>439</v>
      </c>
      <c r="K11" s="37" t="s">
        <v>34</v>
      </c>
    </row>
    <row r="12" spans="1:11" x14ac:dyDescent="0.2">
      <c r="A12" s="2">
        <v>10</v>
      </c>
      <c r="B12" s="32" t="s">
        <v>101</v>
      </c>
      <c r="C12" s="32">
        <v>10</v>
      </c>
      <c r="D12" s="32" t="s">
        <v>299</v>
      </c>
      <c r="E12" s="32" t="s">
        <v>200</v>
      </c>
      <c r="F12" s="32" t="s">
        <v>274</v>
      </c>
      <c r="G12" s="37" t="s">
        <v>438</v>
      </c>
      <c r="H12" s="32" t="s">
        <v>65</v>
      </c>
      <c r="I12" s="35" t="s">
        <v>102</v>
      </c>
      <c r="J12" s="32" t="s">
        <v>439</v>
      </c>
      <c r="K12" s="37" t="s">
        <v>34</v>
      </c>
    </row>
    <row r="13" spans="1:11" x14ac:dyDescent="0.2">
      <c r="A13" s="2">
        <v>11</v>
      </c>
      <c r="B13" s="32" t="s">
        <v>83</v>
      </c>
      <c r="C13" s="32">
        <v>20</v>
      </c>
      <c r="D13" s="32" t="s">
        <v>117</v>
      </c>
      <c r="E13" s="32" t="s">
        <v>118</v>
      </c>
      <c r="F13" s="32" t="s">
        <v>119</v>
      </c>
      <c r="G13" s="37" t="s">
        <v>438</v>
      </c>
      <c r="H13" s="32" t="s">
        <v>120</v>
      </c>
      <c r="I13" s="35" t="s">
        <v>122</v>
      </c>
      <c r="J13" s="32" t="s">
        <v>439</v>
      </c>
      <c r="K13" s="37" t="s">
        <v>34</v>
      </c>
    </row>
    <row r="14" spans="1:11" x14ac:dyDescent="0.2">
      <c r="A14" s="2">
        <v>12</v>
      </c>
      <c r="B14" s="32" t="s">
        <v>16</v>
      </c>
      <c r="C14" s="32">
        <v>16</v>
      </c>
      <c r="D14" s="32" t="s">
        <v>310</v>
      </c>
      <c r="E14" s="32" t="s">
        <v>311</v>
      </c>
      <c r="F14" s="32" t="s">
        <v>312</v>
      </c>
      <c r="G14" s="37" t="s">
        <v>438</v>
      </c>
      <c r="H14" s="32" t="s">
        <v>17</v>
      </c>
      <c r="I14" s="35" t="s">
        <v>19</v>
      </c>
      <c r="J14" s="32" t="s">
        <v>439</v>
      </c>
      <c r="K14" s="37" t="s">
        <v>34</v>
      </c>
    </row>
    <row r="15" spans="1:11" x14ac:dyDescent="0.2">
      <c r="A15" s="2">
        <v>13</v>
      </c>
      <c r="B15" s="32" t="s">
        <v>98</v>
      </c>
      <c r="C15" s="32">
        <v>12</v>
      </c>
      <c r="D15" s="32" t="s">
        <v>161</v>
      </c>
      <c r="E15" s="32" t="s">
        <v>151</v>
      </c>
      <c r="F15" s="32"/>
      <c r="G15" s="37" t="s">
        <v>438</v>
      </c>
      <c r="H15" s="32" t="s">
        <v>163</v>
      </c>
      <c r="I15" s="35" t="s">
        <v>164</v>
      </c>
      <c r="J15" s="32" t="s">
        <v>439</v>
      </c>
      <c r="K15" s="37" t="s">
        <v>34</v>
      </c>
    </row>
    <row r="16" spans="1:11" x14ac:dyDescent="0.2">
      <c r="A16" s="2">
        <v>14</v>
      </c>
      <c r="B16" s="32" t="s">
        <v>253</v>
      </c>
      <c r="C16" s="32">
        <v>2</v>
      </c>
      <c r="D16" s="32" t="s">
        <v>310</v>
      </c>
      <c r="E16" s="32" t="s">
        <v>174</v>
      </c>
      <c r="F16" s="32" t="s">
        <v>405</v>
      </c>
      <c r="G16" s="37" t="s">
        <v>438</v>
      </c>
      <c r="H16" s="32" t="s">
        <v>163</v>
      </c>
      <c r="I16" s="35" t="s">
        <v>307</v>
      </c>
      <c r="J16" s="32" t="s">
        <v>439</v>
      </c>
      <c r="K16" s="37" t="s">
        <v>34</v>
      </c>
    </row>
    <row r="17" spans="1:11" x14ac:dyDescent="0.2">
      <c r="A17" s="2">
        <v>15</v>
      </c>
      <c r="B17" s="32" t="s">
        <v>331</v>
      </c>
      <c r="C17" s="32">
        <v>16</v>
      </c>
      <c r="D17" s="32" t="s">
        <v>299</v>
      </c>
      <c r="E17" s="32" t="s">
        <v>174</v>
      </c>
      <c r="F17" s="32" t="s">
        <v>412</v>
      </c>
      <c r="G17" s="37" t="s">
        <v>438</v>
      </c>
      <c r="H17" s="32" t="s">
        <v>332</v>
      </c>
      <c r="I17" s="35" t="s">
        <v>333</v>
      </c>
      <c r="J17" s="32" t="s">
        <v>439</v>
      </c>
      <c r="K17" s="37" t="s">
        <v>34</v>
      </c>
    </row>
    <row r="18" spans="1:11" x14ac:dyDescent="0.2">
      <c r="A18" s="2">
        <v>16</v>
      </c>
      <c r="B18" s="32" t="s">
        <v>335</v>
      </c>
      <c r="C18" s="32">
        <v>2</v>
      </c>
      <c r="D18" s="32" t="s">
        <v>420</v>
      </c>
      <c r="E18" s="32" t="s">
        <v>174</v>
      </c>
      <c r="F18" s="32" t="s">
        <v>421</v>
      </c>
      <c r="G18" s="37" t="s">
        <v>438</v>
      </c>
      <c r="H18" s="32" t="s">
        <v>332</v>
      </c>
      <c r="I18" s="35" t="s">
        <v>336</v>
      </c>
      <c r="J18" s="32" t="s">
        <v>439</v>
      </c>
      <c r="K18" s="37" t="s">
        <v>34</v>
      </c>
    </row>
    <row r="19" spans="1:11" x14ac:dyDescent="0.2">
      <c r="A19" s="2">
        <v>17</v>
      </c>
      <c r="B19" s="32" t="s">
        <v>70</v>
      </c>
      <c r="C19" s="32">
        <v>20</v>
      </c>
      <c r="D19" s="32" t="s">
        <v>322</v>
      </c>
      <c r="E19" s="32" t="s">
        <v>200</v>
      </c>
      <c r="F19" s="32" t="s">
        <v>323</v>
      </c>
      <c r="G19" s="37" t="s">
        <v>438</v>
      </c>
      <c r="H19" s="32" t="s">
        <v>58</v>
      </c>
      <c r="I19" s="35" t="s">
        <v>71</v>
      </c>
      <c r="J19" s="32" t="s">
        <v>439</v>
      </c>
      <c r="K19" s="37" t="s">
        <v>34</v>
      </c>
    </row>
    <row r="20" spans="1:11" x14ac:dyDescent="0.2">
      <c r="A20" s="2">
        <v>18</v>
      </c>
      <c r="B20" s="32" t="s">
        <v>237</v>
      </c>
      <c r="C20" s="32">
        <v>10</v>
      </c>
      <c r="D20" s="32" t="s">
        <v>293</v>
      </c>
      <c r="E20" s="32" t="s">
        <v>304</v>
      </c>
      <c r="F20" s="32" t="s">
        <v>317</v>
      </c>
      <c r="G20" s="37" t="s">
        <v>438</v>
      </c>
      <c r="H20" s="32" t="s">
        <v>238</v>
      </c>
      <c r="I20" s="35" t="s">
        <v>239</v>
      </c>
      <c r="J20" s="32" t="s">
        <v>439</v>
      </c>
      <c r="K20" s="37" t="s">
        <v>34</v>
      </c>
    </row>
    <row r="21" spans="1:11" x14ac:dyDescent="0.2">
      <c r="A21" s="2">
        <v>19</v>
      </c>
      <c r="B21" s="32" t="s">
        <v>257</v>
      </c>
      <c r="C21" s="32">
        <v>20</v>
      </c>
      <c r="D21" s="32" t="s">
        <v>277</v>
      </c>
      <c r="E21" s="32" t="s">
        <v>75</v>
      </c>
      <c r="F21" s="32" t="s">
        <v>306</v>
      </c>
      <c r="G21" s="37" t="s">
        <v>438</v>
      </c>
      <c r="H21" s="32" t="s">
        <v>266</v>
      </c>
      <c r="I21" s="35" t="s">
        <v>267</v>
      </c>
      <c r="J21" s="32" t="s">
        <v>439</v>
      </c>
      <c r="K21" s="37" t="s">
        <v>34</v>
      </c>
    </row>
    <row r="22" spans="1:11" x14ac:dyDescent="0.2">
      <c r="A22" s="2">
        <v>20</v>
      </c>
      <c r="B22" s="32" t="s">
        <v>89</v>
      </c>
      <c r="C22" s="32">
        <v>8</v>
      </c>
      <c r="D22" s="32" t="s">
        <v>327</v>
      </c>
      <c r="E22" s="32" t="s">
        <v>174</v>
      </c>
      <c r="F22" s="32" t="s">
        <v>328</v>
      </c>
      <c r="G22" s="37" t="s">
        <v>438</v>
      </c>
      <c r="H22" s="32" t="s">
        <v>95</v>
      </c>
      <c r="I22" s="35" t="s">
        <v>96</v>
      </c>
      <c r="J22" s="32" t="s">
        <v>439</v>
      </c>
      <c r="K22" s="37" t="s">
        <v>34</v>
      </c>
    </row>
    <row r="23" spans="1:11" x14ac:dyDescent="0.2">
      <c r="A23" s="2">
        <v>21</v>
      </c>
      <c r="B23" s="32" t="s">
        <v>105</v>
      </c>
      <c r="C23" s="32">
        <v>4</v>
      </c>
      <c r="D23" s="32" t="s">
        <v>327</v>
      </c>
      <c r="E23" s="32" t="s">
        <v>174</v>
      </c>
      <c r="F23" s="32" t="s">
        <v>330</v>
      </c>
      <c r="G23" s="37" t="s">
        <v>438</v>
      </c>
      <c r="H23" s="32" t="s">
        <v>95</v>
      </c>
      <c r="I23" s="35" t="s">
        <v>107</v>
      </c>
      <c r="J23" s="32" t="s">
        <v>439</v>
      </c>
      <c r="K23" s="37" t="s">
        <v>34</v>
      </c>
    </row>
    <row r="24" spans="1:11" x14ac:dyDescent="0.2">
      <c r="A24" s="2">
        <v>22</v>
      </c>
      <c r="B24" s="32" t="s">
        <v>124</v>
      </c>
      <c r="C24" s="32">
        <v>18</v>
      </c>
      <c r="D24" s="32" t="s">
        <v>117</v>
      </c>
      <c r="E24" s="32" t="s">
        <v>174</v>
      </c>
      <c r="F24" s="32" t="s">
        <v>334</v>
      </c>
      <c r="G24" s="37" t="s">
        <v>438</v>
      </c>
      <c r="H24" s="32" t="s">
        <v>95</v>
      </c>
      <c r="I24" s="35" t="s">
        <v>126</v>
      </c>
      <c r="J24" s="32" t="s">
        <v>439</v>
      </c>
      <c r="K24" s="37" t="s">
        <v>34</v>
      </c>
    </row>
    <row r="25" spans="1:11" x14ac:dyDescent="0.2">
      <c r="A25" s="2">
        <v>23</v>
      </c>
      <c r="B25" s="32" t="s">
        <v>144</v>
      </c>
      <c r="C25" s="32">
        <v>4</v>
      </c>
      <c r="D25" s="32" t="s">
        <v>277</v>
      </c>
      <c r="E25" s="32" t="s">
        <v>174</v>
      </c>
      <c r="F25" s="32" t="s">
        <v>338</v>
      </c>
      <c r="G25" s="37" t="s">
        <v>438</v>
      </c>
      <c r="H25" s="32" t="s">
        <v>145</v>
      </c>
      <c r="I25" s="35" t="s">
        <v>146</v>
      </c>
      <c r="J25" s="32" t="s">
        <v>439</v>
      </c>
      <c r="K25" s="37" t="s">
        <v>34</v>
      </c>
    </row>
    <row r="26" spans="1:11" x14ac:dyDescent="0.2">
      <c r="A26" s="2">
        <v>24</v>
      </c>
      <c r="B26" s="32" t="s">
        <v>157</v>
      </c>
      <c r="C26" s="32">
        <v>2</v>
      </c>
      <c r="D26" s="32" t="s">
        <v>339</v>
      </c>
      <c r="E26" s="32" t="s">
        <v>174</v>
      </c>
      <c r="F26" s="32" t="s">
        <v>340</v>
      </c>
      <c r="G26" s="37" t="s">
        <v>438</v>
      </c>
      <c r="H26" s="32" t="s">
        <v>95</v>
      </c>
      <c r="I26" s="35" t="s">
        <v>158</v>
      </c>
      <c r="J26" s="32" t="s">
        <v>439</v>
      </c>
      <c r="K26" s="37" t="s">
        <v>34</v>
      </c>
    </row>
    <row r="27" spans="1:11" x14ac:dyDescent="0.2">
      <c r="A27" s="2">
        <v>25</v>
      </c>
      <c r="B27" s="32" t="s">
        <v>199</v>
      </c>
      <c r="C27" s="32">
        <v>18</v>
      </c>
      <c r="D27" s="32" t="s">
        <v>342</v>
      </c>
      <c r="E27" s="32" t="s">
        <v>118</v>
      </c>
      <c r="F27" s="32" t="s">
        <v>343</v>
      </c>
      <c r="G27" s="37" t="s">
        <v>438</v>
      </c>
      <c r="H27" s="32" t="s">
        <v>202</v>
      </c>
      <c r="I27" s="35" t="s">
        <v>205</v>
      </c>
      <c r="J27" s="32" t="s">
        <v>439</v>
      </c>
      <c r="K27" s="37" t="s">
        <v>34</v>
      </c>
    </row>
    <row r="28" spans="1:11" x14ac:dyDescent="0.2">
      <c r="A28" s="2">
        <v>26</v>
      </c>
      <c r="B28" s="32" t="s">
        <v>208</v>
      </c>
      <c r="C28" s="32">
        <v>20</v>
      </c>
      <c r="D28" s="32" t="s">
        <v>310</v>
      </c>
      <c r="E28" s="32" t="s">
        <v>118</v>
      </c>
      <c r="F28" s="32" t="s">
        <v>278</v>
      </c>
      <c r="G28" s="37" t="s">
        <v>438</v>
      </c>
      <c r="H28" s="32" t="s">
        <v>202</v>
      </c>
      <c r="I28" s="35" t="s">
        <v>210</v>
      </c>
      <c r="J28" s="32" t="s">
        <v>439</v>
      </c>
      <c r="K28" s="37" t="s">
        <v>34</v>
      </c>
    </row>
    <row r="29" spans="1:11" x14ac:dyDescent="0.2">
      <c r="A29" s="2">
        <v>27</v>
      </c>
      <c r="B29" s="32" t="s">
        <v>213</v>
      </c>
      <c r="C29" s="32">
        <v>20</v>
      </c>
      <c r="D29" s="32" t="s">
        <v>351</v>
      </c>
      <c r="E29" s="32" t="s">
        <v>75</v>
      </c>
      <c r="F29" s="32" t="s">
        <v>352</v>
      </c>
      <c r="G29" s="37" t="s">
        <v>438</v>
      </c>
      <c r="H29" s="32" t="s">
        <v>202</v>
      </c>
      <c r="I29" s="35" t="s">
        <v>214</v>
      </c>
      <c r="J29" s="32" t="s">
        <v>439</v>
      </c>
      <c r="K29" s="37" t="s">
        <v>34</v>
      </c>
    </row>
  </sheetData>
  <mergeCells count="3">
    <mergeCell ref="B1:C1"/>
    <mergeCell ref="E1:F1"/>
    <mergeCell ref="H1:I1"/>
  </mergeCells>
  <conditionalFormatting sqref="A3:K29">
    <cfRule type="expression" dxfId="7" priority="1">
      <formula>$J3="SI"</formula>
    </cfRule>
    <cfRule type="expression" dxfId="6" priority="2">
      <formula>$J3="NO"</formula>
    </cfRule>
    <cfRule type="expression" dxfId="5" priority="3">
      <formula>$J3="Revision"</formula>
    </cfRule>
    <cfRule type="expression" dxfId="4" priority="4">
      <formula>$J3="Conflicto de turnos"</formula>
    </cfRule>
  </conditionalFormatting>
  <dataValidations count="1">
    <dataValidation type="list" allowBlank="1" showErrorMessage="1" sqref="J3:J29" xr:uid="{00000000-0002-0000-0900-000000000000}">
      <formula1>"Si,No,Revision,Conflicto de turnos"</formula1>
    </dataValidation>
  </dataValidations>
  <hyperlinks>
    <hyperlink ref="G3" r:id="rId1" xr:uid="{00000000-0004-0000-0900-000000000000}"/>
    <hyperlink ref="I3" r:id="rId2" xr:uid="{00000000-0004-0000-0900-000001000000}"/>
    <hyperlink ref="K3" r:id="rId3" xr:uid="{00000000-0004-0000-0900-000002000000}"/>
    <hyperlink ref="G4" r:id="rId4" xr:uid="{00000000-0004-0000-0900-000003000000}"/>
    <hyperlink ref="I4" r:id="rId5" xr:uid="{00000000-0004-0000-0900-000004000000}"/>
    <hyperlink ref="K4" r:id="rId6" xr:uid="{00000000-0004-0000-0900-000005000000}"/>
    <hyperlink ref="G5" r:id="rId7" xr:uid="{00000000-0004-0000-0900-000006000000}"/>
    <hyperlink ref="I5" r:id="rId8" xr:uid="{00000000-0004-0000-0900-000007000000}"/>
    <hyperlink ref="K5" r:id="rId9" xr:uid="{00000000-0004-0000-0900-000008000000}"/>
    <hyperlink ref="G6" r:id="rId10" xr:uid="{00000000-0004-0000-0900-000009000000}"/>
    <hyperlink ref="I6" r:id="rId11" xr:uid="{00000000-0004-0000-0900-00000A000000}"/>
    <hyperlink ref="K6" r:id="rId12" xr:uid="{00000000-0004-0000-0900-00000B000000}"/>
    <hyperlink ref="G7" r:id="rId13" xr:uid="{00000000-0004-0000-0900-00000C000000}"/>
    <hyperlink ref="I7" r:id="rId14" xr:uid="{00000000-0004-0000-0900-00000D000000}"/>
    <hyperlink ref="K7" r:id="rId15" xr:uid="{00000000-0004-0000-0900-00000E000000}"/>
    <hyperlink ref="G8" r:id="rId16" xr:uid="{00000000-0004-0000-0900-00000F000000}"/>
    <hyperlink ref="I8" r:id="rId17" xr:uid="{00000000-0004-0000-0900-000010000000}"/>
    <hyperlink ref="K8" r:id="rId18" xr:uid="{00000000-0004-0000-0900-000011000000}"/>
    <hyperlink ref="G9" r:id="rId19" xr:uid="{00000000-0004-0000-0900-000012000000}"/>
    <hyperlink ref="I9" r:id="rId20" xr:uid="{00000000-0004-0000-0900-000013000000}"/>
    <hyperlink ref="K9" r:id="rId21" xr:uid="{00000000-0004-0000-0900-000014000000}"/>
    <hyperlink ref="G10" r:id="rId22" xr:uid="{00000000-0004-0000-0900-000015000000}"/>
    <hyperlink ref="I10" r:id="rId23" xr:uid="{00000000-0004-0000-0900-000016000000}"/>
    <hyperlink ref="K10" r:id="rId24" xr:uid="{00000000-0004-0000-0900-000017000000}"/>
    <hyperlink ref="G11" r:id="rId25" xr:uid="{00000000-0004-0000-0900-000018000000}"/>
    <hyperlink ref="I11" r:id="rId26" xr:uid="{00000000-0004-0000-0900-000019000000}"/>
    <hyperlink ref="K11" r:id="rId27" xr:uid="{00000000-0004-0000-0900-00001A000000}"/>
    <hyperlink ref="G12" r:id="rId28" xr:uid="{00000000-0004-0000-0900-00001B000000}"/>
    <hyperlink ref="I12" r:id="rId29" xr:uid="{00000000-0004-0000-0900-00001C000000}"/>
    <hyperlink ref="K12" r:id="rId30" xr:uid="{00000000-0004-0000-0900-00001D000000}"/>
    <hyperlink ref="G13" r:id="rId31" xr:uid="{00000000-0004-0000-0900-00001E000000}"/>
    <hyperlink ref="I13" r:id="rId32" xr:uid="{00000000-0004-0000-0900-00001F000000}"/>
    <hyperlink ref="K13" r:id="rId33" xr:uid="{00000000-0004-0000-0900-000020000000}"/>
    <hyperlink ref="G14" r:id="rId34" xr:uid="{00000000-0004-0000-0900-000021000000}"/>
    <hyperlink ref="I14" r:id="rId35" xr:uid="{00000000-0004-0000-0900-000022000000}"/>
    <hyperlink ref="K14" r:id="rId36" xr:uid="{00000000-0004-0000-0900-000023000000}"/>
    <hyperlink ref="G15" r:id="rId37" xr:uid="{00000000-0004-0000-0900-000024000000}"/>
    <hyperlink ref="I15" r:id="rId38" xr:uid="{00000000-0004-0000-0900-000025000000}"/>
    <hyperlink ref="K15" r:id="rId39" xr:uid="{00000000-0004-0000-0900-000026000000}"/>
    <hyperlink ref="G16" r:id="rId40" xr:uid="{00000000-0004-0000-0900-000027000000}"/>
    <hyperlink ref="I16" r:id="rId41" xr:uid="{00000000-0004-0000-0900-000028000000}"/>
    <hyperlink ref="K16" r:id="rId42" xr:uid="{00000000-0004-0000-0900-000029000000}"/>
    <hyperlink ref="G17" r:id="rId43" xr:uid="{00000000-0004-0000-0900-00002A000000}"/>
    <hyperlink ref="I17" r:id="rId44" xr:uid="{00000000-0004-0000-0900-00002B000000}"/>
    <hyperlink ref="K17" r:id="rId45" xr:uid="{00000000-0004-0000-0900-00002C000000}"/>
    <hyperlink ref="G18" r:id="rId46" xr:uid="{00000000-0004-0000-0900-00002D000000}"/>
    <hyperlink ref="I18" r:id="rId47" xr:uid="{00000000-0004-0000-0900-00002E000000}"/>
    <hyperlink ref="K18" r:id="rId48" xr:uid="{00000000-0004-0000-0900-00002F000000}"/>
    <hyperlink ref="G19" r:id="rId49" xr:uid="{00000000-0004-0000-0900-000030000000}"/>
    <hyperlink ref="I19" r:id="rId50" xr:uid="{00000000-0004-0000-0900-000031000000}"/>
    <hyperlink ref="K19" r:id="rId51" xr:uid="{00000000-0004-0000-0900-000032000000}"/>
    <hyperlink ref="G20" r:id="rId52" xr:uid="{00000000-0004-0000-0900-000033000000}"/>
    <hyperlink ref="I20" r:id="rId53" xr:uid="{00000000-0004-0000-0900-000034000000}"/>
    <hyperlink ref="K20" r:id="rId54" xr:uid="{00000000-0004-0000-0900-000035000000}"/>
    <hyperlink ref="G21" r:id="rId55" xr:uid="{00000000-0004-0000-0900-000036000000}"/>
    <hyperlink ref="I21" r:id="rId56" xr:uid="{00000000-0004-0000-0900-000037000000}"/>
    <hyperlink ref="K21" r:id="rId57" xr:uid="{00000000-0004-0000-0900-000038000000}"/>
    <hyperlink ref="G22" r:id="rId58" xr:uid="{00000000-0004-0000-0900-000039000000}"/>
    <hyperlink ref="I22" r:id="rId59" xr:uid="{00000000-0004-0000-0900-00003A000000}"/>
    <hyperlink ref="K22" r:id="rId60" xr:uid="{00000000-0004-0000-0900-00003B000000}"/>
    <hyperlink ref="G23" r:id="rId61" xr:uid="{00000000-0004-0000-0900-00003C000000}"/>
    <hyperlink ref="I23" r:id="rId62" xr:uid="{00000000-0004-0000-0900-00003D000000}"/>
    <hyperlink ref="K23" r:id="rId63" xr:uid="{00000000-0004-0000-0900-00003E000000}"/>
    <hyperlink ref="G24" r:id="rId64" xr:uid="{00000000-0004-0000-0900-00003F000000}"/>
    <hyperlink ref="I24" r:id="rId65" xr:uid="{00000000-0004-0000-0900-000040000000}"/>
    <hyperlink ref="K24" r:id="rId66" xr:uid="{00000000-0004-0000-0900-000041000000}"/>
    <hyperlink ref="G25" r:id="rId67" xr:uid="{00000000-0004-0000-0900-000042000000}"/>
    <hyperlink ref="I25" r:id="rId68" xr:uid="{00000000-0004-0000-0900-000043000000}"/>
    <hyperlink ref="K25" r:id="rId69" xr:uid="{00000000-0004-0000-0900-000044000000}"/>
    <hyperlink ref="G26" r:id="rId70" xr:uid="{00000000-0004-0000-0900-000045000000}"/>
    <hyperlink ref="I26" r:id="rId71" xr:uid="{00000000-0004-0000-0900-000046000000}"/>
    <hyperlink ref="K26" r:id="rId72" xr:uid="{00000000-0004-0000-0900-000047000000}"/>
    <hyperlink ref="G27" r:id="rId73" xr:uid="{00000000-0004-0000-0900-000048000000}"/>
    <hyperlink ref="I27" r:id="rId74" xr:uid="{00000000-0004-0000-0900-000049000000}"/>
    <hyperlink ref="K27" r:id="rId75" xr:uid="{00000000-0004-0000-0900-00004A000000}"/>
    <hyperlink ref="G28" r:id="rId76" xr:uid="{00000000-0004-0000-0900-00004B000000}"/>
    <hyperlink ref="I28" r:id="rId77" xr:uid="{00000000-0004-0000-0900-00004C000000}"/>
    <hyperlink ref="K28" r:id="rId78" xr:uid="{00000000-0004-0000-0900-00004D000000}"/>
    <hyperlink ref="G29" r:id="rId79" xr:uid="{00000000-0004-0000-0900-00004E000000}"/>
    <hyperlink ref="I29" r:id="rId80" xr:uid="{00000000-0004-0000-0900-00004F000000}"/>
    <hyperlink ref="K29" r:id="rId81" xr:uid="{00000000-0004-0000-0900-00005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47"/>
  <sheetViews>
    <sheetView workbookViewId="0"/>
  </sheetViews>
  <sheetFormatPr baseColWidth="10" defaultColWidth="12.5703125" defaultRowHeight="15.75" customHeight="1" x14ac:dyDescent="0.2"/>
  <sheetData>
    <row r="1" spans="1:11" x14ac:dyDescent="0.2">
      <c r="A1" s="2"/>
      <c r="B1" s="228" t="s">
        <v>2</v>
      </c>
      <c r="C1" s="177"/>
      <c r="D1" s="169">
        <f>SUM(G1+J1)</f>
        <v>664</v>
      </c>
      <c r="E1" s="230" t="s">
        <v>440</v>
      </c>
      <c r="F1" s="177"/>
      <c r="G1" s="170">
        <f>SUMIFS(C3:C47, J3:J47, "SI")</f>
        <v>243</v>
      </c>
      <c r="H1" s="231" t="s">
        <v>441</v>
      </c>
      <c r="I1" s="177"/>
      <c r="J1" s="171">
        <f>SUMIFS(C3:C47, J3:J47, "&lt;&gt;Si")</f>
        <v>421</v>
      </c>
      <c r="K1" s="172"/>
    </row>
    <row r="2" spans="1:11" x14ac:dyDescent="0.2">
      <c r="A2" s="2"/>
      <c r="B2" s="2" t="s">
        <v>6</v>
      </c>
      <c r="C2" s="2" t="s">
        <v>7</v>
      </c>
      <c r="D2" s="2" t="s">
        <v>50</v>
      </c>
      <c r="E2" s="2" t="s">
        <v>45</v>
      </c>
      <c r="F2" s="2" t="s">
        <v>53</v>
      </c>
      <c r="G2" s="2" t="s">
        <v>437</v>
      </c>
      <c r="H2" s="165" t="s">
        <v>8</v>
      </c>
      <c r="I2" s="165" t="s">
        <v>10</v>
      </c>
      <c r="J2" s="165" t="s">
        <v>416</v>
      </c>
      <c r="K2" s="2" t="s">
        <v>11</v>
      </c>
    </row>
    <row r="3" spans="1:11" x14ac:dyDescent="0.2">
      <c r="A3" s="2">
        <v>1</v>
      </c>
      <c r="B3" s="32" t="s">
        <v>24</v>
      </c>
      <c r="C3" s="32">
        <v>20</v>
      </c>
      <c r="D3" s="32" t="s">
        <v>358</v>
      </c>
      <c r="E3" s="32" t="s">
        <v>360</v>
      </c>
      <c r="F3" s="32" t="s">
        <v>362</v>
      </c>
      <c r="G3" s="37" t="s">
        <v>438</v>
      </c>
      <c r="H3" s="32" t="s">
        <v>25</v>
      </c>
      <c r="I3" s="35" t="s">
        <v>26</v>
      </c>
      <c r="J3" s="32" t="s">
        <v>422</v>
      </c>
      <c r="K3" s="37" t="s">
        <v>34</v>
      </c>
    </row>
    <row r="4" spans="1:11" x14ac:dyDescent="0.2">
      <c r="A4" s="2">
        <v>2</v>
      </c>
      <c r="B4" s="32" t="s">
        <v>290</v>
      </c>
      <c r="C4" s="32">
        <v>20</v>
      </c>
      <c r="D4" s="32" t="s">
        <v>372</v>
      </c>
      <c r="E4" s="32" t="s">
        <v>151</v>
      </c>
      <c r="F4" s="32" t="s">
        <v>152</v>
      </c>
      <c r="G4" s="37" t="s">
        <v>438</v>
      </c>
      <c r="H4" s="32" t="s">
        <v>153</v>
      </c>
      <c r="I4" s="35" t="s">
        <v>291</v>
      </c>
      <c r="J4" s="32" t="s">
        <v>422</v>
      </c>
      <c r="K4" s="37" t="s">
        <v>34</v>
      </c>
    </row>
    <row r="5" spans="1:11" x14ac:dyDescent="0.2">
      <c r="A5" s="2">
        <v>3</v>
      </c>
      <c r="B5" s="32" t="s">
        <v>97</v>
      </c>
      <c r="C5" s="32">
        <v>20</v>
      </c>
      <c r="D5" s="32" t="s">
        <v>150</v>
      </c>
      <c r="E5" s="32" t="s">
        <v>151</v>
      </c>
      <c r="F5" s="32" t="s">
        <v>152</v>
      </c>
      <c r="G5" s="37" t="s">
        <v>438</v>
      </c>
      <c r="H5" s="32" t="s">
        <v>153</v>
      </c>
      <c r="I5" s="35" t="s">
        <v>154</v>
      </c>
      <c r="J5" s="32" t="s">
        <v>422</v>
      </c>
      <c r="K5" s="37" t="s">
        <v>34</v>
      </c>
    </row>
    <row r="6" spans="1:11" x14ac:dyDescent="0.2">
      <c r="A6" s="2">
        <v>4</v>
      </c>
      <c r="B6" s="32" t="s">
        <v>219</v>
      </c>
      <c r="C6" s="32">
        <v>20</v>
      </c>
      <c r="D6" s="32" t="s">
        <v>269</v>
      </c>
      <c r="E6" s="32" t="s">
        <v>75</v>
      </c>
      <c r="F6" s="32" t="s">
        <v>270</v>
      </c>
      <c r="G6" s="37" t="s">
        <v>438</v>
      </c>
      <c r="H6" s="32" t="s">
        <v>220</v>
      </c>
      <c r="I6" s="35" t="s">
        <v>221</v>
      </c>
      <c r="J6" s="32" t="s">
        <v>439</v>
      </c>
      <c r="K6" s="37" t="s">
        <v>34</v>
      </c>
    </row>
    <row r="7" spans="1:11" x14ac:dyDescent="0.2">
      <c r="A7" s="2">
        <v>5</v>
      </c>
      <c r="B7" s="32" t="s">
        <v>226</v>
      </c>
      <c r="C7" s="32">
        <v>20</v>
      </c>
      <c r="D7" s="32" t="s">
        <v>273</v>
      </c>
      <c r="E7" s="32" t="s">
        <v>75</v>
      </c>
      <c r="F7" s="32" t="s">
        <v>274</v>
      </c>
      <c r="G7" s="37" t="s">
        <v>438</v>
      </c>
      <c r="H7" s="32" t="s">
        <v>220</v>
      </c>
      <c r="I7" s="35" t="s">
        <v>227</v>
      </c>
      <c r="J7" s="32" t="s">
        <v>439</v>
      </c>
      <c r="K7" s="37" t="s">
        <v>34</v>
      </c>
    </row>
    <row r="8" spans="1:11" x14ac:dyDescent="0.2">
      <c r="A8" s="2">
        <v>6</v>
      </c>
      <c r="B8" s="32" t="s">
        <v>167</v>
      </c>
      <c r="C8" s="32">
        <v>12</v>
      </c>
      <c r="D8" s="32" t="s">
        <v>380</v>
      </c>
      <c r="E8" s="32" t="s">
        <v>381</v>
      </c>
      <c r="F8" s="32" t="s">
        <v>382</v>
      </c>
      <c r="G8" s="37" t="s">
        <v>438</v>
      </c>
      <c r="H8" s="32" t="s">
        <v>168</v>
      </c>
      <c r="I8" s="35" t="s">
        <v>169</v>
      </c>
      <c r="J8" s="32" t="s">
        <v>439</v>
      </c>
      <c r="K8" s="37" t="s">
        <v>34</v>
      </c>
    </row>
    <row r="9" spans="1:11" x14ac:dyDescent="0.2">
      <c r="A9" s="2">
        <v>7</v>
      </c>
      <c r="B9" s="32" t="s">
        <v>247</v>
      </c>
      <c r="C9" s="32">
        <v>20</v>
      </c>
      <c r="D9" s="32" t="s">
        <v>308</v>
      </c>
      <c r="E9" s="32" t="s">
        <v>75</v>
      </c>
      <c r="F9" s="32" t="s">
        <v>278</v>
      </c>
      <c r="G9" s="37" t="s">
        <v>438</v>
      </c>
      <c r="H9" s="32" t="s">
        <v>296</v>
      </c>
      <c r="I9" s="35" t="s">
        <v>297</v>
      </c>
      <c r="J9" s="32" t="s">
        <v>439</v>
      </c>
      <c r="K9" s="37" t="s">
        <v>34</v>
      </c>
    </row>
    <row r="10" spans="1:11" x14ac:dyDescent="0.2">
      <c r="A10" s="2">
        <v>8</v>
      </c>
      <c r="B10" s="32" t="s">
        <v>181</v>
      </c>
      <c r="C10" s="32">
        <v>16</v>
      </c>
      <c r="D10" s="32" t="s">
        <v>425</v>
      </c>
      <c r="E10" s="32" t="s">
        <v>426</v>
      </c>
      <c r="F10" s="32" t="s">
        <v>427</v>
      </c>
      <c r="G10" s="37" t="s">
        <v>438</v>
      </c>
      <c r="H10" s="32" t="s">
        <v>182</v>
      </c>
      <c r="I10" s="35" t="s">
        <v>183</v>
      </c>
      <c r="J10" s="32" t="s">
        <v>442</v>
      </c>
      <c r="K10" s="37" t="s">
        <v>34</v>
      </c>
    </row>
    <row r="11" spans="1:11" x14ac:dyDescent="0.2">
      <c r="A11" s="2">
        <v>9</v>
      </c>
      <c r="B11" s="32" t="s">
        <v>41</v>
      </c>
      <c r="C11" s="32">
        <v>18</v>
      </c>
      <c r="D11" s="32"/>
      <c r="E11" s="32" t="s">
        <v>75</v>
      </c>
      <c r="F11" s="32"/>
      <c r="G11" s="37" t="s">
        <v>438</v>
      </c>
      <c r="H11" s="32" t="s">
        <v>76</v>
      </c>
      <c r="I11" s="35" t="s">
        <v>77</v>
      </c>
      <c r="J11" s="32" t="s">
        <v>422</v>
      </c>
      <c r="K11" s="37" t="s">
        <v>34</v>
      </c>
    </row>
    <row r="12" spans="1:11" x14ac:dyDescent="0.2">
      <c r="A12" s="2">
        <v>10</v>
      </c>
      <c r="B12" s="32" t="s">
        <v>171</v>
      </c>
      <c r="C12" s="32">
        <v>10</v>
      </c>
      <c r="D12" s="32" t="s">
        <v>277</v>
      </c>
      <c r="E12" s="32" t="s">
        <v>75</v>
      </c>
      <c r="F12" s="32" t="s">
        <v>289</v>
      </c>
      <c r="G12" s="37" t="s">
        <v>438</v>
      </c>
      <c r="H12" s="32" t="s">
        <v>76</v>
      </c>
      <c r="I12" s="35" t="s">
        <v>172</v>
      </c>
      <c r="J12" s="32" t="s">
        <v>439</v>
      </c>
      <c r="K12" s="37" t="s">
        <v>34</v>
      </c>
    </row>
    <row r="13" spans="1:11" x14ac:dyDescent="0.2">
      <c r="A13" s="2">
        <v>11</v>
      </c>
      <c r="B13" s="32" t="s">
        <v>186</v>
      </c>
      <c r="C13" s="32">
        <v>6</v>
      </c>
      <c r="D13" s="32" t="s">
        <v>277</v>
      </c>
      <c r="E13" s="32" t="s">
        <v>174</v>
      </c>
      <c r="F13" s="32"/>
      <c r="G13" s="37" t="s">
        <v>438</v>
      </c>
      <c r="H13" s="32" t="s">
        <v>76</v>
      </c>
      <c r="I13" s="35" t="s">
        <v>187</v>
      </c>
      <c r="J13" s="32" t="s">
        <v>439</v>
      </c>
      <c r="K13" s="37" t="s">
        <v>34</v>
      </c>
    </row>
    <row r="14" spans="1:11" x14ac:dyDescent="0.2">
      <c r="A14" s="2">
        <v>12</v>
      </c>
      <c r="B14" s="32" t="s">
        <v>111</v>
      </c>
      <c r="C14" s="32">
        <v>20</v>
      </c>
      <c r="D14" s="32" t="s">
        <v>277</v>
      </c>
      <c r="E14" s="32" t="s">
        <v>75</v>
      </c>
      <c r="F14" s="32" t="s">
        <v>278</v>
      </c>
      <c r="G14" s="37" t="s">
        <v>438</v>
      </c>
      <c r="H14" s="32" t="s">
        <v>112</v>
      </c>
      <c r="I14" s="35" t="s">
        <v>113</v>
      </c>
      <c r="J14" s="32" t="s">
        <v>439</v>
      </c>
      <c r="K14" s="37" t="s">
        <v>34</v>
      </c>
    </row>
    <row r="15" spans="1:11" x14ac:dyDescent="0.2">
      <c r="A15" s="2">
        <v>13</v>
      </c>
      <c r="B15" s="32" t="s">
        <v>127</v>
      </c>
      <c r="C15" s="32">
        <v>20</v>
      </c>
      <c r="D15" s="32" t="s">
        <v>286</v>
      </c>
      <c r="E15" s="32" t="s">
        <v>75</v>
      </c>
      <c r="F15" s="32" t="s">
        <v>287</v>
      </c>
      <c r="G15" s="37" t="s">
        <v>438</v>
      </c>
      <c r="H15" s="32" t="s">
        <v>112</v>
      </c>
      <c r="I15" s="35" t="s">
        <v>128</v>
      </c>
      <c r="J15" s="32" t="s">
        <v>439</v>
      </c>
      <c r="K15" s="37" t="s">
        <v>34</v>
      </c>
    </row>
    <row r="16" spans="1:11" x14ac:dyDescent="0.2">
      <c r="A16" s="2">
        <v>14</v>
      </c>
      <c r="B16" s="32" t="s">
        <v>131</v>
      </c>
      <c r="C16" s="32">
        <v>20</v>
      </c>
      <c r="D16" s="32" t="s">
        <v>443</v>
      </c>
      <c r="E16" s="32" t="s">
        <v>432</v>
      </c>
      <c r="F16" s="32" t="s">
        <v>306</v>
      </c>
      <c r="G16" s="37" t="s">
        <v>438</v>
      </c>
      <c r="H16" s="32" t="s">
        <v>112</v>
      </c>
      <c r="I16" s="35" t="s">
        <v>132</v>
      </c>
      <c r="J16" s="32" t="s">
        <v>442</v>
      </c>
      <c r="K16" s="37" t="s">
        <v>34</v>
      </c>
    </row>
    <row r="17" spans="1:11" x14ac:dyDescent="0.2">
      <c r="A17" s="2">
        <v>15</v>
      </c>
      <c r="B17" s="32" t="s">
        <v>250</v>
      </c>
      <c r="C17" s="32">
        <v>20</v>
      </c>
      <c r="D17" s="32" t="s">
        <v>303</v>
      </c>
      <c r="E17" s="32" t="s">
        <v>304</v>
      </c>
      <c r="F17" s="32"/>
      <c r="G17" s="37" t="s">
        <v>438</v>
      </c>
      <c r="H17" s="32" t="s">
        <v>260</v>
      </c>
      <c r="I17" s="35" t="s">
        <v>261</v>
      </c>
      <c r="J17" s="32" t="s">
        <v>439</v>
      </c>
      <c r="K17" s="37" t="s">
        <v>34</v>
      </c>
    </row>
    <row r="18" spans="1:11" x14ac:dyDescent="0.2">
      <c r="A18" s="2">
        <v>16</v>
      </c>
      <c r="B18" s="32" t="s">
        <v>60</v>
      </c>
      <c r="C18" s="32">
        <v>5</v>
      </c>
      <c r="D18" s="32" t="s">
        <v>211</v>
      </c>
      <c r="E18" s="32" t="s">
        <v>212</v>
      </c>
      <c r="F18" s="32"/>
      <c r="G18" s="37" t="s">
        <v>438</v>
      </c>
      <c r="H18" s="32" t="s">
        <v>65</v>
      </c>
      <c r="I18" s="35" t="s">
        <v>66</v>
      </c>
      <c r="J18" s="32" t="s">
        <v>422</v>
      </c>
      <c r="K18" s="37" t="s">
        <v>34</v>
      </c>
    </row>
    <row r="19" spans="1:11" x14ac:dyDescent="0.2">
      <c r="A19" s="2">
        <v>17</v>
      </c>
      <c r="B19" s="32" t="s">
        <v>78</v>
      </c>
      <c r="C19" s="32">
        <v>20</v>
      </c>
      <c r="D19" s="32" t="s">
        <v>218</v>
      </c>
      <c r="E19" s="32" t="s">
        <v>75</v>
      </c>
      <c r="F19" s="32"/>
      <c r="G19" s="37" t="s">
        <v>438</v>
      </c>
      <c r="H19" s="32" t="s">
        <v>65</v>
      </c>
      <c r="I19" s="35" t="s">
        <v>79</v>
      </c>
      <c r="J19" s="32" t="s">
        <v>422</v>
      </c>
      <c r="K19" s="37" t="s">
        <v>34</v>
      </c>
    </row>
    <row r="20" spans="1:11" x14ac:dyDescent="0.2">
      <c r="A20" s="2">
        <v>18</v>
      </c>
      <c r="B20" s="32" t="s">
        <v>87</v>
      </c>
      <c r="C20" s="32">
        <v>15</v>
      </c>
      <c r="D20" s="32" t="s">
        <v>293</v>
      </c>
      <c r="E20" s="32" t="s">
        <v>200</v>
      </c>
      <c r="F20" s="32" t="s">
        <v>294</v>
      </c>
      <c r="G20" s="37" t="s">
        <v>438</v>
      </c>
      <c r="H20" s="32" t="s">
        <v>65</v>
      </c>
      <c r="I20" s="35" t="s">
        <v>93</v>
      </c>
      <c r="J20" s="32" t="s">
        <v>439</v>
      </c>
      <c r="K20" s="37" t="s">
        <v>34</v>
      </c>
    </row>
    <row r="21" spans="1:11" x14ac:dyDescent="0.2">
      <c r="A21" s="2">
        <v>19</v>
      </c>
      <c r="B21" s="32" t="s">
        <v>101</v>
      </c>
      <c r="C21" s="32">
        <v>10</v>
      </c>
      <c r="D21" s="32" t="s">
        <v>299</v>
      </c>
      <c r="E21" s="32" t="s">
        <v>200</v>
      </c>
      <c r="F21" s="32" t="s">
        <v>274</v>
      </c>
      <c r="G21" s="37" t="s">
        <v>438</v>
      </c>
      <c r="H21" s="32" t="s">
        <v>65</v>
      </c>
      <c r="I21" s="35" t="s">
        <v>102</v>
      </c>
      <c r="J21" s="32" t="s">
        <v>439</v>
      </c>
      <c r="K21" s="37" t="s">
        <v>34</v>
      </c>
    </row>
    <row r="22" spans="1:11" x14ac:dyDescent="0.2">
      <c r="A22" s="2">
        <v>20</v>
      </c>
      <c r="B22" s="32" t="s">
        <v>83</v>
      </c>
      <c r="C22" s="32">
        <v>20</v>
      </c>
      <c r="D22" s="32" t="s">
        <v>117</v>
      </c>
      <c r="E22" s="32" t="s">
        <v>118</v>
      </c>
      <c r="F22" s="32" t="s">
        <v>119</v>
      </c>
      <c r="G22" s="37" t="s">
        <v>438</v>
      </c>
      <c r="H22" s="32" t="s">
        <v>120</v>
      </c>
      <c r="I22" s="35" t="s">
        <v>122</v>
      </c>
      <c r="J22" s="32" t="s">
        <v>439</v>
      </c>
      <c r="K22" s="37" t="s">
        <v>34</v>
      </c>
    </row>
    <row r="23" spans="1:11" x14ac:dyDescent="0.2">
      <c r="A23" s="2">
        <v>21</v>
      </c>
      <c r="B23" s="32" t="s">
        <v>94</v>
      </c>
      <c r="C23" s="32">
        <v>20</v>
      </c>
      <c r="D23" s="32" t="s">
        <v>136</v>
      </c>
      <c r="E23" s="32" t="s">
        <v>137</v>
      </c>
      <c r="F23" s="32" t="s">
        <v>138</v>
      </c>
      <c r="G23" s="37" t="s">
        <v>438</v>
      </c>
      <c r="H23" s="32" t="s">
        <v>139</v>
      </c>
      <c r="I23" s="35" t="s">
        <v>140</v>
      </c>
      <c r="J23" s="32" t="s">
        <v>422</v>
      </c>
      <c r="K23" s="37" t="s">
        <v>34</v>
      </c>
    </row>
    <row r="24" spans="1:11" x14ac:dyDescent="0.2">
      <c r="A24" s="2">
        <v>22</v>
      </c>
      <c r="B24" s="32" t="s">
        <v>16</v>
      </c>
      <c r="C24" s="32">
        <v>16</v>
      </c>
      <c r="D24" s="32" t="s">
        <v>310</v>
      </c>
      <c r="E24" s="32" t="s">
        <v>311</v>
      </c>
      <c r="F24" s="32" t="s">
        <v>312</v>
      </c>
      <c r="G24" s="37" t="s">
        <v>438</v>
      </c>
      <c r="H24" s="32" t="s">
        <v>17</v>
      </c>
      <c r="I24" s="35" t="s">
        <v>19</v>
      </c>
      <c r="J24" s="32" t="s">
        <v>439</v>
      </c>
      <c r="K24" s="37" t="s">
        <v>34</v>
      </c>
    </row>
    <row r="25" spans="1:11" x14ac:dyDescent="0.2">
      <c r="A25" s="2">
        <v>23</v>
      </c>
      <c r="B25" s="32" t="s">
        <v>301</v>
      </c>
      <c r="C25" s="32">
        <v>12</v>
      </c>
      <c r="D25" s="32" t="s">
        <v>434</v>
      </c>
      <c r="E25" s="32" t="s">
        <v>137</v>
      </c>
      <c r="F25" s="32"/>
      <c r="G25" s="37" t="s">
        <v>438</v>
      </c>
      <c r="H25" s="32" t="s">
        <v>163</v>
      </c>
      <c r="I25" s="35" t="s">
        <v>302</v>
      </c>
      <c r="J25" s="32" t="s">
        <v>442</v>
      </c>
      <c r="K25" s="37" t="s">
        <v>34</v>
      </c>
    </row>
    <row r="26" spans="1:11" x14ac:dyDescent="0.2">
      <c r="A26" s="2">
        <v>24</v>
      </c>
      <c r="B26" s="32" t="s">
        <v>98</v>
      </c>
      <c r="C26" s="32">
        <v>12</v>
      </c>
      <c r="D26" s="32" t="s">
        <v>161</v>
      </c>
      <c r="E26" s="32" t="s">
        <v>151</v>
      </c>
      <c r="F26" s="32"/>
      <c r="G26" s="37" t="s">
        <v>438</v>
      </c>
      <c r="H26" s="32" t="s">
        <v>163</v>
      </c>
      <c r="I26" s="35" t="s">
        <v>164</v>
      </c>
      <c r="J26" s="32" t="s">
        <v>422</v>
      </c>
      <c r="K26" s="37" t="s">
        <v>34</v>
      </c>
    </row>
    <row r="27" spans="1:11" x14ac:dyDescent="0.2">
      <c r="A27" s="2">
        <v>25</v>
      </c>
      <c r="B27" s="32" t="s">
        <v>253</v>
      </c>
      <c r="C27" s="32">
        <v>2</v>
      </c>
      <c r="D27" s="32" t="s">
        <v>310</v>
      </c>
      <c r="E27" s="32" t="s">
        <v>174</v>
      </c>
      <c r="F27" s="32" t="s">
        <v>405</v>
      </c>
      <c r="G27" s="37" t="s">
        <v>438</v>
      </c>
      <c r="H27" s="32" t="s">
        <v>163</v>
      </c>
      <c r="I27" s="35" t="s">
        <v>307</v>
      </c>
      <c r="J27" s="32" t="s">
        <v>439</v>
      </c>
      <c r="K27" s="37" t="s">
        <v>34</v>
      </c>
    </row>
    <row r="28" spans="1:11" x14ac:dyDescent="0.2">
      <c r="A28" s="2">
        <v>26</v>
      </c>
      <c r="B28" s="32" t="s">
        <v>191</v>
      </c>
      <c r="C28" s="32">
        <v>12</v>
      </c>
      <c r="D28" s="32"/>
      <c r="E28" s="32" t="s">
        <v>75</v>
      </c>
      <c r="F28" s="32" t="s">
        <v>408</v>
      </c>
      <c r="G28" s="37" t="s">
        <v>438</v>
      </c>
      <c r="H28" s="32" t="s">
        <v>193</v>
      </c>
      <c r="I28" s="35" t="s">
        <v>194</v>
      </c>
      <c r="J28" s="32" t="s">
        <v>422</v>
      </c>
      <c r="K28" s="37" t="s">
        <v>34</v>
      </c>
    </row>
    <row r="29" spans="1:11" x14ac:dyDescent="0.2">
      <c r="A29" s="2">
        <v>27</v>
      </c>
      <c r="B29" s="32" t="s">
        <v>103</v>
      </c>
      <c r="C29" s="32">
        <v>20</v>
      </c>
      <c r="D29" s="32" t="s">
        <v>198</v>
      </c>
      <c r="E29" s="32" t="s">
        <v>200</v>
      </c>
      <c r="F29" s="32" t="s">
        <v>201</v>
      </c>
      <c r="G29" s="37" t="s">
        <v>438</v>
      </c>
      <c r="H29" s="32" t="s">
        <v>203</v>
      </c>
      <c r="I29" s="35" t="s">
        <v>204</v>
      </c>
      <c r="J29" s="32" t="s">
        <v>422</v>
      </c>
      <c r="K29" s="37" t="s">
        <v>34</v>
      </c>
    </row>
    <row r="30" spans="1:11" x14ac:dyDescent="0.2">
      <c r="A30" s="2">
        <v>28</v>
      </c>
      <c r="B30" s="32" t="s">
        <v>331</v>
      </c>
      <c r="C30" s="32">
        <v>16</v>
      </c>
      <c r="D30" s="32" t="s">
        <v>299</v>
      </c>
      <c r="E30" s="32" t="s">
        <v>174</v>
      </c>
      <c r="F30" s="32" t="s">
        <v>412</v>
      </c>
      <c r="G30" s="37" t="s">
        <v>438</v>
      </c>
      <c r="H30" s="32" t="s">
        <v>332</v>
      </c>
      <c r="I30" s="35" t="s">
        <v>333</v>
      </c>
      <c r="J30" s="32" t="s">
        <v>439</v>
      </c>
      <c r="K30" s="37" t="s">
        <v>34</v>
      </c>
    </row>
    <row r="31" spans="1:11" x14ac:dyDescent="0.2">
      <c r="A31" s="2">
        <v>29</v>
      </c>
      <c r="B31" s="32" t="s">
        <v>335</v>
      </c>
      <c r="C31" s="32">
        <v>2</v>
      </c>
      <c r="D31" s="32" t="s">
        <v>420</v>
      </c>
      <c r="E31" s="32" t="s">
        <v>174</v>
      </c>
      <c r="F31" s="32" t="s">
        <v>421</v>
      </c>
      <c r="G31" s="37" t="s">
        <v>438</v>
      </c>
      <c r="H31" s="32" t="s">
        <v>332</v>
      </c>
      <c r="I31" s="35" t="s">
        <v>336</v>
      </c>
      <c r="J31" s="32" t="s">
        <v>439</v>
      </c>
      <c r="K31" s="37" t="s">
        <v>34</v>
      </c>
    </row>
    <row r="32" spans="1:11" x14ac:dyDescent="0.2">
      <c r="A32" s="2">
        <v>30</v>
      </c>
      <c r="B32" s="32" t="s">
        <v>56</v>
      </c>
      <c r="C32" s="32">
        <v>20</v>
      </c>
      <c r="D32" s="32" t="s">
        <v>184</v>
      </c>
      <c r="E32" s="32" t="s">
        <v>75</v>
      </c>
      <c r="F32" s="32" t="s">
        <v>185</v>
      </c>
      <c r="G32" s="37" t="s">
        <v>438</v>
      </c>
      <c r="H32" s="32" t="s">
        <v>58</v>
      </c>
      <c r="I32" s="35" t="s">
        <v>63</v>
      </c>
      <c r="J32" s="32" t="s">
        <v>422</v>
      </c>
      <c r="K32" s="37" t="s">
        <v>34</v>
      </c>
    </row>
    <row r="33" spans="1:11" x14ac:dyDescent="0.2">
      <c r="A33" s="2">
        <v>31</v>
      </c>
      <c r="B33" s="32" t="s">
        <v>70</v>
      </c>
      <c r="C33" s="32">
        <v>20</v>
      </c>
      <c r="D33" s="32" t="s">
        <v>322</v>
      </c>
      <c r="E33" s="32" t="s">
        <v>200</v>
      </c>
      <c r="F33" s="32" t="s">
        <v>323</v>
      </c>
      <c r="G33" s="37" t="s">
        <v>438</v>
      </c>
      <c r="H33" s="32" t="s">
        <v>58</v>
      </c>
      <c r="I33" s="35" t="s">
        <v>71</v>
      </c>
      <c r="J33" s="32" t="s">
        <v>439</v>
      </c>
      <c r="K33" s="37" t="s">
        <v>34</v>
      </c>
    </row>
    <row r="34" spans="1:11" x14ac:dyDescent="0.2">
      <c r="A34" s="2">
        <v>32</v>
      </c>
      <c r="B34" s="32" t="s">
        <v>243</v>
      </c>
      <c r="C34" s="32">
        <v>18</v>
      </c>
      <c r="D34" s="32" t="s">
        <v>315</v>
      </c>
      <c r="E34" s="32" t="s">
        <v>75</v>
      </c>
      <c r="F34" s="32" t="s">
        <v>316</v>
      </c>
      <c r="G34" s="37" t="s">
        <v>438</v>
      </c>
      <c r="H34" s="32" t="s">
        <v>238</v>
      </c>
      <c r="I34" s="35" t="s">
        <v>244</v>
      </c>
      <c r="J34" s="32" t="s">
        <v>422</v>
      </c>
      <c r="K34" s="37" t="s">
        <v>34</v>
      </c>
    </row>
    <row r="35" spans="1:11" x14ac:dyDescent="0.2">
      <c r="A35" s="2">
        <v>33</v>
      </c>
      <c r="B35" s="32" t="s">
        <v>237</v>
      </c>
      <c r="C35" s="32">
        <v>10</v>
      </c>
      <c r="D35" s="32" t="s">
        <v>293</v>
      </c>
      <c r="E35" s="32" t="s">
        <v>304</v>
      </c>
      <c r="F35" s="32" t="s">
        <v>317</v>
      </c>
      <c r="G35" s="37" t="s">
        <v>438</v>
      </c>
      <c r="H35" s="32" t="s">
        <v>238</v>
      </c>
      <c r="I35" s="35" t="s">
        <v>239</v>
      </c>
      <c r="J35" s="32" t="s">
        <v>439</v>
      </c>
      <c r="K35" s="37" t="s">
        <v>34</v>
      </c>
    </row>
    <row r="36" spans="1:11" x14ac:dyDescent="0.2">
      <c r="A36" s="2">
        <v>34</v>
      </c>
      <c r="B36" s="32" t="s">
        <v>108</v>
      </c>
      <c r="C36" s="32">
        <v>10</v>
      </c>
      <c r="D36" s="32" t="s">
        <v>222</v>
      </c>
      <c r="E36" s="32" t="s">
        <v>137</v>
      </c>
      <c r="F36" s="32"/>
      <c r="G36" s="37" t="s">
        <v>438</v>
      </c>
      <c r="H36" s="32" t="s">
        <v>223</v>
      </c>
      <c r="I36" s="35" t="s">
        <v>224</v>
      </c>
      <c r="J36" s="32" t="s">
        <v>422</v>
      </c>
      <c r="K36" s="37" t="s">
        <v>34</v>
      </c>
    </row>
    <row r="37" spans="1:11" x14ac:dyDescent="0.2">
      <c r="A37" s="2">
        <v>35</v>
      </c>
      <c r="B37" s="32" t="s">
        <v>114</v>
      </c>
      <c r="C37" s="32">
        <v>10</v>
      </c>
      <c r="D37" s="32" t="s">
        <v>231</v>
      </c>
      <c r="E37" s="32" t="s">
        <v>232</v>
      </c>
      <c r="F37" s="32"/>
      <c r="G37" s="37" t="s">
        <v>438</v>
      </c>
      <c r="H37" s="32" t="s">
        <v>223</v>
      </c>
      <c r="I37" s="35" t="s">
        <v>233</v>
      </c>
      <c r="J37" s="32" t="s">
        <v>422</v>
      </c>
      <c r="K37" s="37" t="s">
        <v>34</v>
      </c>
    </row>
    <row r="38" spans="1:11" x14ac:dyDescent="0.2">
      <c r="A38" s="2">
        <v>36</v>
      </c>
      <c r="B38" s="32" t="s">
        <v>257</v>
      </c>
      <c r="C38" s="32">
        <v>20</v>
      </c>
      <c r="D38" s="32" t="s">
        <v>277</v>
      </c>
      <c r="E38" s="32" t="s">
        <v>75</v>
      </c>
      <c r="F38" s="32" t="s">
        <v>306</v>
      </c>
      <c r="G38" s="37" t="s">
        <v>438</v>
      </c>
      <c r="H38" s="32" t="s">
        <v>266</v>
      </c>
      <c r="I38" s="35" t="s">
        <v>267</v>
      </c>
      <c r="J38" s="32" t="s">
        <v>439</v>
      </c>
      <c r="K38" s="37" t="s">
        <v>34</v>
      </c>
    </row>
    <row r="39" spans="1:11" x14ac:dyDescent="0.2">
      <c r="A39" s="2">
        <v>37</v>
      </c>
      <c r="B39" s="32" t="s">
        <v>89</v>
      </c>
      <c r="C39" s="32">
        <v>8</v>
      </c>
      <c r="D39" s="32" t="s">
        <v>327</v>
      </c>
      <c r="E39" s="32" t="s">
        <v>174</v>
      </c>
      <c r="F39" s="32" t="s">
        <v>328</v>
      </c>
      <c r="G39" s="37" t="s">
        <v>438</v>
      </c>
      <c r="H39" s="32" t="s">
        <v>95</v>
      </c>
      <c r="I39" s="35" t="s">
        <v>96</v>
      </c>
      <c r="J39" s="32" t="s">
        <v>439</v>
      </c>
      <c r="K39" s="37" t="s">
        <v>34</v>
      </c>
    </row>
    <row r="40" spans="1:11" x14ac:dyDescent="0.2">
      <c r="A40" s="2">
        <v>38</v>
      </c>
      <c r="B40" s="32" t="s">
        <v>105</v>
      </c>
      <c r="C40" s="32">
        <v>4</v>
      </c>
      <c r="D40" s="32" t="s">
        <v>327</v>
      </c>
      <c r="E40" s="32" t="s">
        <v>174</v>
      </c>
      <c r="F40" s="32" t="s">
        <v>330</v>
      </c>
      <c r="G40" s="37" t="s">
        <v>438</v>
      </c>
      <c r="H40" s="32" t="s">
        <v>95</v>
      </c>
      <c r="I40" s="35" t="s">
        <v>107</v>
      </c>
      <c r="J40" s="32" t="s">
        <v>439</v>
      </c>
      <c r="K40" s="37" t="s">
        <v>34</v>
      </c>
    </row>
    <row r="41" spans="1:11" x14ac:dyDescent="0.2">
      <c r="A41" s="2">
        <v>39</v>
      </c>
      <c r="B41" s="32" t="s">
        <v>124</v>
      </c>
      <c r="C41" s="32">
        <v>18</v>
      </c>
      <c r="D41" s="32" t="s">
        <v>117</v>
      </c>
      <c r="E41" s="32" t="s">
        <v>174</v>
      </c>
      <c r="F41" s="32" t="s">
        <v>334</v>
      </c>
      <c r="G41" s="37" t="s">
        <v>438</v>
      </c>
      <c r="H41" s="32" t="s">
        <v>95</v>
      </c>
      <c r="I41" s="35" t="s">
        <v>126</v>
      </c>
      <c r="J41" s="32" t="s">
        <v>439</v>
      </c>
      <c r="K41" s="37" t="s">
        <v>34</v>
      </c>
    </row>
    <row r="42" spans="1:11" x14ac:dyDescent="0.2">
      <c r="A42" s="2">
        <v>40</v>
      </c>
      <c r="B42" s="32" t="s">
        <v>99</v>
      </c>
      <c r="C42" s="32">
        <v>18</v>
      </c>
      <c r="D42" s="32" t="s">
        <v>173</v>
      </c>
      <c r="E42" s="32" t="s">
        <v>174</v>
      </c>
      <c r="F42" s="32" t="s">
        <v>175</v>
      </c>
      <c r="G42" s="37" t="s">
        <v>438</v>
      </c>
      <c r="H42" s="32" t="s">
        <v>95</v>
      </c>
      <c r="I42" s="35" t="s">
        <v>135</v>
      </c>
      <c r="J42" s="32" t="s">
        <v>422</v>
      </c>
      <c r="K42" s="37" t="s">
        <v>34</v>
      </c>
    </row>
    <row r="43" spans="1:11" x14ac:dyDescent="0.2">
      <c r="A43" s="2">
        <v>41</v>
      </c>
      <c r="B43" s="32" t="s">
        <v>144</v>
      </c>
      <c r="C43" s="32">
        <v>4</v>
      </c>
      <c r="D43" s="32" t="s">
        <v>277</v>
      </c>
      <c r="E43" s="32" t="s">
        <v>174</v>
      </c>
      <c r="F43" s="32" t="s">
        <v>338</v>
      </c>
      <c r="G43" s="37" t="s">
        <v>438</v>
      </c>
      <c r="H43" s="32" t="s">
        <v>145</v>
      </c>
      <c r="I43" s="35" t="s">
        <v>146</v>
      </c>
      <c r="J43" s="32" t="s">
        <v>439</v>
      </c>
      <c r="K43" s="37" t="s">
        <v>34</v>
      </c>
    </row>
    <row r="44" spans="1:11" x14ac:dyDescent="0.2">
      <c r="A44" s="2">
        <v>42</v>
      </c>
      <c r="B44" s="32" t="s">
        <v>157</v>
      </c>
      <c r="C44" s="32">
        <v>2</v>
      </c>
      <c r="D44" s="32" t="s">
        <v>339</v>
      </c>
      <c r="E44" s="32" t="s">
        <v>174</v>
      </c>
      <c r="F44" s="32" t="s">
        <v>340</v>
      </c>
      <c r="G44" s="37" t="s">
        <v>438</v>
      </c>
      <c r="H44" s="32" t="s">
        <v>95</v>
      </c>
      <c r="I44" s="35" t="s">
        <v>158</v>
      </c>
      <c r="J44" s="32" t="s">
        <v>439</v>
      </c>
      <c r="K44" s="37" t="s">
        <v>34</v>
      </c>
    </row>
    <row r="45" spans="1:11" x14ac:dyDescent="0.2">
      <c r="A45" s="2">
        <v>43</v>
      </c>
      <c r="B45" s="32" t="s">
        <v>199</v>
      </c>
      <c r="C45" s="32">
        <v>18</v>
      </c>
      <c r="D45" s="32" t="s">
        <v>342</v>
      </c>
      <c r="E45" s="32" t="s">
        <v>118</v>
      </c>
      <c r="F45" s="32" t="s">
        <v>343</v>
      </c>
      <c r="G45" s="37" t="s">
        <v>438</v>
      </c>
      <c r="H45" s="32" t="s">
        <v>202</v>
      </c>
      <c r="I45" s="35" t="s">
        <v>205</v>
      </c>
      <c r="J45" s="32" t="s">
        <v>439</v>
      </c>
      <c r="K45" s="37" t="s">
        <v>34</v>
      </c>
    </row>
    <row r="46" spans="1:11" x14ac:dyDescent="0.2">
      <c r="A46" s="2">
        <v>44</v>
      </c>
      <c r="B46" s="32" t="s">
        <v>208</v>
      </c>
      <c r="C46" s="32">
        <v>20</v>
      </c>
      <c r="D46" s="32" t="s">
        <v>310</v>
      </c>
      <c r="E46" s="32" t="s">
        <v>118</v>
      </c>
      <c r="F46" s="32" t="s">
        <v>278</v>
      </c>
      <c r="G46" s="37" t="s">
        <v>438</v>
      </c>
      <c r="H46" s="32" t="s">
        <v>202</v>
      </c>
      <c r="I46" s="35" t="s">
        <v>210</v>
      </c>
      <c r="J46" s="32" t="s">
        <v>439</v>
      </c>
      <c r="K46" s="37" t="s">
        <v>34</v>
      </c>
    </row>
    <row r="47" spans="1:11" x14ac:dyDescent="0.2">
      <c r="A47" s="2">
        <v>45</v>
      </c>
      <c r="B47" s="32" t="s">
        <v>213</v>
      </c>
      <c r="C47" s="32">
        <v>20</v>
      </c>
      <c r="D47" s="32" t="s">
        <v>351</v>
      </c>
      <c r="E47" s="32" t="s">
        <v>75</v>
      </c>
      <c r="F47" s="32" t="s">
        <v>352</v>
      </c>
      <c r="G47" s="37" t="s">
        <v>438</v>
      </c>
      <c r="H47" s="32" t="s">
        <v>202</v>
      </c>
      <c r="I47" s="35" t="s">
        <v>214</v>
      </c>
      <c r="J47" s="32" t="s">
        <v>439</v>
      </c>
      <c r="K47" s="37" t="s">
        <v>34</v>
      </c>
    </row>
  </sheetData>
  <mergeCells count="3">
    <mergeCell ref="B1:C1"/>
    <mergeCell ref="E1:F1"/>
    <mergeCell ref="H1:I1"/>
  </mergeCells>
  <conditionalFormatting sqref="A3:K47">
    <cfRule type="expression" dxfId="3" priority="1">
      <formula>$J3="SI"</formula>
    </cfRule>
    <cfRule type="expression" dxfId="2" priority="2">
      <formula>$J3="NO"</formula>
    </cfRule>
    <cfRule type="expression" dxfId="1" priority="3">
      <formula>$J3="Revision"</formula>
    </cfRule>
    <cfRule type="expression" dxfId="0" priority="4">
      <formula>$J3="Conflicto de turnos"</formula>
    </cfRule>
  </conditionalFormatting>
  <dataValidations count="1">
    <dataValidation type="list" allowBlank="1" showErrorMessage="1" sqref="J3:J47" xr:uid="{00000000-0002-0000-0A00-000000000000}">
      <formula1>"Si,No,Revision,Conflicto de turnos"</formula1>
    </dataValidation>
  </dataValidations>
  <hyperlinks>
    <hyperlink ref="G3" r:id="rId1" xr:uid="{00000000-0004-0000-0A00-000000000000}"/>
    <hyperlink ref="I3" r:id="rId2" xr:uid="{00000000-0004-0000-0A00-000001000000}"/>
    <hyperlink ref="K3" r:id="rId3" xr:uid="{00000000-0004-0000-0A00-000002000000}"/>
    <hyperlink ref="G4" r:id="rId4" xr:uid="{00000000-0004-0000-0A00-000003000000}"/>
    <hyperlink ref="I4" r:id="rId5" xr:uid="{00000000-0004-0000-0A00-000004000000}"/>
    <hyperlink ref="K4" r:id="rId6" xr:uid="{00000000-0004-0000-0A00-000005000000}"/>
    <hyperlink ref="G5" r:id="rId7" xr:uid="{00000000-0004-0000-0A00-000006000000}"/>
    <hyperlink ref="I5" r:id="rId8" xr:uid="{00000000-0004-0000-0A00-000007000000}"/>
    <hyperlink ref="K5" r:id="rId9" xr:uid="{00000000-0004-0000-0A00-000008000000}"/>
    <hyperlink ref="G6" r:id="rId10" xr:uid="{00000000-0004-0000-0A00-000009000000}"/>
    <hyperlink ref="I6" r:id="rId11" xr:uid="{00000000-0004-0000-0A00-00000A000000}"/>
    <hyperlink ref="K6" r:id="rId12" xr:uid="{00000000-0004-0000-0A00-00000B000000}"/>
    <hyperlink ref="G7" r:id="rId13" xr:uid="{00000000-0004-0000-0A00-00000C000000}"/>
    <hyperlink ref="I7" r:id="rId14" xr:uid="{00000000-0004-0000-0A00-00000D000000}"/>
    <hyperlink ref="K7" r:id="rId15" xr:uid="{00000000-0004-0000-0A00-00000E000000}"/>
    <hyperlink ref="G8" r:id="rId16" xr:uid="{00000000-0004-0000-0A00-00000F000000}"/>
    <hyperlink ref="I8" r:id="rId17" xr:uid="{00000000-0004-0000-0A00-000010000000}"/>
    <hyperlink ref="K8" r:id="rId18" xr:uid="{00000000-0004-0000-0A00-000011000000}"/>
    <hyperlink ref="G9" r:id="rId19" xr:uid="{00000000-0004-0000-0A00-000012000000}"/>
    <hyperlink ref="I9" r:id="rId20" xr:uid="{00000000-0004-0000-0A00-000013000000}"/>
    <hyperlink ref="K9" r:id="rId21" xr:uid="{00000000-0004-0000-0A00-000014000000}"/>
    <hyperlink ref="G10" r:id="rId22" xr:uid="{00000000-0004-0000-0A00-000015000000}"/>
    <hyperlink ref="I10" r:id="rId23" xr:uid="{00000000-0004-0000-0A00-000016000000}"/>
    <hyperlink ref="K10" r:id="rId24" xr:uid="{00000000-0004-0000-0A00-000017000000}"/>
    <hyperlink ref="G11" r:id="rId25" xr:uid="{00000000-0004-0000-0A00-000018000000}"/>
    <hyperlink ref="I11" r:id="rId26" xr:uid="{00000000-0004-0000-0A00-000019000000}"/>
    <hyperlink ref="K11" r:id="rId27" xr:uid="{00000000-0004-0000-0A00-00001A000000}"/>
    <hyperlink ref="G12" r:id="rId28" xr:uid="{00000000-0004-0000-0A00-00001B000000}"/>
    <hyperlink ref="I12" r:id="rId29" xr:uid="{00000000-0004-0000-0A00-00001C000000}"/>
    <hyperlink ref="K12" r:id="rId30" xr:uid="{00000000-0004-0000-0A00-00001D000000}"/>
    <hyperlink ref="G13" r:id="rId31" xr:uid="{00000000-0004-0000-0A00-00001E000000}"/>
    <hyperlink ref="I13" r:id="rId32" xr:uid="{00000000-0004-0000-0A00-00001F000000}"/>
    <hyperlink ref="K13" r:id="rId33" xr:uid="{00000000-0004-0000-0A00-000020000000}"/>
    <hyperlink ref="G14" r:id="rId34" xr:uid="{00000000-0004-0000-0A00-000021000000}"/>
    <hyperlink ref="I14" r:id="rId35" xr:uid="{00000000-0004-0000-0A00-000022000000}"/>
    <hyperlink ref="K14" r:id="rId36" xr:uid="{00000000-0004-0000-0A00-000023000000}"/>
    <hyperlink ref="G15" r:id="rId37" xr:uid="{00000000-0004-0000-0A00-000024000000}"/>
    <hyperlink ref="I15" r:id="rId38" xr:uid="{00000000-0004-0000-0A00-000025000000}"/>
    <hyperlink ref="K15" r:id="rId39" xr:uid="{00000000-0004-0000-0A00-000026000000}"/>
    <hyperlink ref="G16" r:id="rId40" xr:uid="{00000000-0004-0000-0A00-000027000000}"/>
    <hyperlink ref="I16" r:id="rId41" xr:uid="{00000000-0004-0000-0A00-000028000000}"/>
    <hyperlink ref="K16" r:id="rId42" xr:uid="{00000000-0004-0000-0A00-000029000000}"/>
    <hyperlink ref="G17" r:id="rId43" xr:uid="{00000000-0004-0000-0A00-00002A000000}"/>
    <hyperlink ref="I17" r:id="rId44" xr:uid="{00000000-0004-0000-0A00-00002B000000}"/>
    <hyperlink ref="K17" r:id="rId45" xr:uid="{00000000-0004-0000-0A00-00002C000000}"/>
    <hyperlink ref="G18" r:id="rId46" xr:uid="{00000000-0004-0000-0A00-00002D000000}"/>
    <hyperlink ref="I18" r:id="rId47" xr:uid="{00000000-0004-0000-0A00-00002E000000}"/>
    <hyperlink ref="K18" r:id="rId48" xr:uid="{00000000-0004-0000-0A00-00002F000000}"/>
    <hyperlink ref="G19" r:id="rId49" xr:uid="{00000000-0004-0000-0A00-000030000000}"/>
    <hyperlink ref="I19" r:id="rId50" xr:uid="{00000000-0004-0000-0A00-000031000000}"/>
    <hyperlink ref="K19" r:id="rId51" xr:uid="{00000000-0004-0000-0A00-000032000000}"/>
    <hyperlink ref="G20" r:id="rId52" xr:uid="{00000000-0004-0000-0A00-000033000000}"/>
    <hyperlink ref="I20" r:id="rId53" xr:uid="{00000000-0004-0000-0A00-000034000000}"/>
    <hyperlink ref="K20" r:id="rId54" xr:uid="{00000000-0004-0000-0A00-000035000000}"/>
    <hyperlink ref="G21" r:id="rId55" xr:uid="{00000000-0004-0000-0A00-000036000000}"/>
    <hyperlink ref="I21" r:id="rId56" xr:uid="{00000000-0004-0000-0A00-000037000000}"/>
    <hyperlink ref="K21" r:id="rId57" xr:uid="{00000000-0004-0000-0A00-000038000000}"/>
    <hyperlink ref="G22" r:id="rId58" xr:uid="{00000000-0004-0000-0A00-000039000000}"/>
    <hyperlink ref="I22" r:id="rId59" xr:uid="{00000000-0004-0000-0A00-00003A000000}"/>
    <hyperlink ref="K22" r:id="rId60" xr:uid="{00000000-0004-0000-0A00-00003B000000}"/>
    <hyperlink ref="G23" r:id="rId61" xr:uid="{00000000-0004-0000-0A00-00003C000000}"/>
    <hyperlink ref="I23" r:id="rId62" xr:uid="{00000000-0004-0000-0A00-00003D000000}"/>
    <hyperlink ref="K23" r:id="rId63" xr:uid="{00000000-0004-0000-0A00-00003E000000}"/>
    <hyperlink ref="G24" r:id="rId64" xr:uid="{00000000-0004-0000-0A00-00003F000000}"/>
    <hyperlink ref="I24" r:id="rId65" xr:uid="{00000000-0004-0000-0A00-000040000000}"/>
    <hyperlink ref="K24" r:id="rId66" xr:uid="{00000000-0004-0000-0A00-000041000000}"/>
    <hyperlink ref="G25" r:id="rId67" xr:uid="{00000000-0004-0000-0A00-000042000000}"/>
    <hyperlink ref="I25" r:id="rId68" xr:uid="{00000000-0004-0000-0A00-000043000000}"/>
    <hyperlink ref="K25" r:id="rId69" xr:uid="{00000000-0004-0000-0A00-000044000000}"/>
    <hyperlink ref="G26" r:id="rId70" xr:uid="{00000000-0004-0000-0A00-000045000000}"/>
    <hyperlink ref="I26" r:id="rId71" xr:uid="{00000000-0004-0000-0A00-000046000000}"/>
    <hyperlink ref="K26" r:id="rId72" xr:uid="{00000000-0004-0000-0A00-000047000000}"/>
    <hyperlink ref="G27" r:id="rId73" xr:uid="{00000000-0004-0000-0A00-000048000000}"/>
    <hyperlink ref="I27" r:id="rId74" xr:uid="{00000000-0004-0000-0A00-000049000000}"/>
    <hyperlink ref="K27" r:id="rId75" xr:uid="{00000000-0004-0000-0A00-00004A000000}"/>
    <hyperlink ref="G28" r:id="rId76" xr:uid="{00000000-0004-0000-0A00-00004B000000}"/>
    <hyperlink ref="I28" r:id="rId77" xr:uid="{00000000-0004-0000-0A00-00004C000000}"/>
    <hyperlink ref="K28" r:id="rId78" xr:uid="{00000000-0004-0000-0A00-00004D000000}"/>
    <hyperlink ref="G29" r:id="rId79" xr:uid="{00000000-0004-0000-0A00-00004E000000}"/>
    <hyperlink ref="I29" r:id="rId80" xr:uid="{00000000-0004-0000-0A00-00004F000000}"/>
    <hyperlink ref="K29" r:id="rId81" xr:uid="{00000000-0004-0000-0A00-000050000000}"/>
    <hyperlink ref="G30" r:id="rId82" xr:uid="{00000000-0004-0000-0A00-000051000000}"/>
    <hyperlink ref="I30" r:id="rId83" xr:uid="{00000000-0004-0000-0A00-000052000000}"/>
    <hyperlink ref="K30" r:id="rId84" xr:uid="{00000000-0004-0000-0A00-000053000000}"/>
    <hyperlink ref="G31" r:id="rId85" xr:uid="{00000000-0004-0000-0A00-000054000000}"/>
    <hyperlink ref="I31" r:id="rId86" xr:uid="{00000000-0004-0000-0A00-000055000000}"/>
    <hyperlink ref="K31" r:id="rId87" xr:uid="{00000000-0004-0000-0A00-000056000000}"/>
    <hyperlink ref="G32" r:id="rId88" xr:uid="{00000000-0004-0000-0A00-000057000000}"/>
    <hyperlink ref="I32" r:id="rId89" xr:uid="{00000000-0004-0000-0A00-000058000000}"/>
    <hyperlink ref="K32" r:id="rId90" xr:uid="{00000000-0004-0000-0A00-000059000000}"/>
    <hyperlink ref="G33" r:id="rId91" xr:uid="{00000000-0004-0000-0A00-00005A000000}"/>
    <hyperlink ref="I33" r:id="rId92" xr:uid="{00000000-0004-0000-0A00-00005B000000}"/>
    <hyperlink ref="K33" r:id="rId93" xr:uid="{00000000-0004-0000-0A00-00005C000000}"/>
    <hyperlink ref="G34" r:id="rId94" xr:uid="{00000000-0004-0000-0A00-00005D000000}"/>
    <hyperlink ref="I34" r:id="rId95" xr:uid="{00000000-0004-0000-0A00-00005E000000}"/>
    <hyperlink ref="K34" r:id="rId96" xr:uid="{00000000-0004-0000-0A00-00005F000000}"/>
    <hyperlink ref="G35" r:id="rId97" xr:uid="{00000000-0004-0000-0A00-000060000000}"/>
    <hyperlink ref="I35" r:id="rId98" xr:uid="{00000000-0004-0000-0A00-000061000000}"/>
    <hyperlink ref="K35" r:id="rId99" xr:uid="{00000000-0004-0000-0A00-000062000000}"/>
    <hyperlink ref="G36" r:id="rId100" xr:uid="{00000000-0004-0000-0A00-000063000000}"/>
    <hyperlink ref="I36" r:id="rId101" xr:uid="{00000000-0004-0000-0A00-000064000000}"/>
    <hyperlink ref="K36" r:id="rId102" xr:uid="{00000000-0004-0000-0A00-000065000000}"/>
    <hyperlink ref="G37" r:id="rId103" xr:uid="{00000000-0004-0000-0A00-000066000000}"/>
    <hyperlink ref="I37" r:id="rId104" xr:uid="{00000000-0004-0000-0A00-000067000000}"/>
    <hyperlink ref="K37" r:id="rId105" xr:uid="{00000000-0004-0000-0A00-000068000000}"/>
    <hyperlink ref="G38" r:id="rId106" xr:uid="{00000000-0004-0000-0A00-000069000000}"/>
    <hyperlink ref="I38" r:id="rId107" xr:uid="{00000000-0004-0000-0A00-00006A000000}"/>
    <hyperlink ref="K38" r:id="rId108" xr:uid="{00000000-0004-0000-0A00-00006B000000}"/>
    <hyperlink ref="G39" r:id="rId109" xr:uid="{00000000-0004-0000-0A00-00006C000000}"/>
    <hyperlink ref="I39" r:id="rId110" xr:uid="{00000000-0004-0000-0A00-00006D000000}"/>
    <hyperlink ref="K39" r:id="rId111" xr:uid="{00000000-0004-0000-0A00-00006E000000}"/>
    <hyperlink ref="G40" r:id="rId112" xr:uid="{00000000-0004-0000-0A00-00006F000000}"/>
    <hyperlink ref="I40" r:id="rId113" xr:uid="{00000000-0004-0000-0A00-000070000000}"/>
    <hyperlink ref="K40" r:id="rId114" xr:uid="{00000000-0004-0000-0A00-000071000000}"/>
    <hyperlink ref="G41" r:id="rId115" xr:uid="{00000000-0004-0000-0A00-000072000000}"/>
    <hyperlink ref="I41" r:id="rId116" xr:uid="{00000000-0004-0000-0A00-000073000000}"/>
    <hyperlink ref="K41" r:id="rId117" xr:uid="{00000000-0004-0000-0A00-000074000000}"/>
    <hyperlink ref="G42" r:id="rId118" xr:uid="{00000000-0004-0000-0A00-000075000000}"/>
    <hyperlink ref="I42" r:id="rId119" xr:uid="{00000000-0004-0000-0A00-000076000000}"/>
    <hyperlink ref="K42" r:id="rId120" xr:uid="{00000000-0004-0000-0A00-000077000000}"/>
    <hyperlink ref="G43" r:id="rId121" xr:uid="{00000000-0004-0000-0A00-000078000000}"/>
    <hyperlink ref="I43" r:id="rId122" xr:uid="{00000000-0004-0000-0A00-000079000000}"/>
    <hyperlink ref="K43" r:id="rId123" xr:uid="{00000000-0004-0000-0A00-00007A000000}"/>
    <hyperlink ref="G44" r:id="rId124" xr:uid="{00000000-0004-0000-0A00-00007B000000}"/>
    <hyperlink ref="I44" r:id="rId125" xr:uid="{00000000-0004-0000-0A00-00007C000000}"/>
    <hyperlink ref="K44" r:id="rId126" xr:uid="{00000000-0004-0000-0A00-00007D000000}"/>
    <hyperlink ref="G45" r:id="rId127" xr:uid="{00000000-0004-0000-0A00-00007E000000}"/>
    <hyperlink ref="I45" r:id="rId128" xr:uid="{00000000-0004-0000-0A00-00007F000000}"/>
    <hyperlink ref="K45" r:id="rId129" xr:uid="{00000000-0004-0000-0A00-000080000000}"/>
    <hyperlink ref="G46" r:id="rId130" xr:uid="{00000000-0004-0000-0A00-000081000000}"/>
    <hyperlink ref="I46" r:id="rId131" xr:uid="{00000000-0004-0000-0A00-000082000000}"/>
    <hyperlink ref="K46" r:id="rId132" xr:uid="{00000000-0004-0000-0A00-000083000000}"/>
    <hyperlink ref="G47" r:id="rId133" xr:uid="{00000000-0004-0000-0A00-000084000000}"/>
    <hyperlink ref="I47" r:id="rId134" xr:uid="{00000000-0004-0000-0A00-000085000000}"/>
    <hyperlink ref="K47" r:id="rId135" xr:uid="{00000000-0004-0000-0A00-00008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Concentrado</vt:lpstr>
      <vt:lpstr>Entrega Caravanas</vt:lpstr>
      <vt:lpstr>Aulas Tecnológicas</vt:lpstr>
      <vt:lpstr>Adqui. Primera Fase</vt:lpstr>
      <vt:lpstr>Hoja 10</vt:lpstr>
      <vt:lpstr>Hoja 11</vt:lpstr>
      <vt:lpstr>Adqui. total 45 escuelas</vt:lpstr>
      <vt:lpstr>Ubicación</vt:lpstr>
      <vt:lpstr>1° Fase</vt:lpstr>
      <vt:lpstr>2° Fase</vt:lpstr>
      <vt:lpstr>3° Fase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Guillermo Lugo Ramirez</cp:lastModifiedBy>
  <dcterms:created xsi:type="dcterms:W3CDTF">2026-10-15T20:18:31Z</dcterms:created>
  <dcterms:modified xsi:type="dcterms:W3CDTF">2026-10-15T20:18:31Z</dcterms:modified>
</cp:coreProperties>
</file>